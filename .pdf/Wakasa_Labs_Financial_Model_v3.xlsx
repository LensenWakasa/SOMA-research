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unway &amp; Funding" sheetId="2" state="visible" r:id="rId4"/>
    <sheet name="Break-Even Pricing" sheetId="3" state="visible" r:id="rId5"/>
    <sheet name="Month-by-Month (Yr 1)" sheetId="4" state="visible" r:id="rId6"/>
    <sheet name="AI Model Roadmap" sheetId="5" state="visible" r:id="rId7"/>
    <sheet name="Hosting Op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<sst xmlns="http://schemas.openxmlformats.org/spreadsheetml/2006/main" count="431" uniqueCount="360">
  <si>
    <t xml:space="preserve">WAKASA LABS — FINANCIAL ASSUMPTIONS</t>
  </si>
  <si>
    <t xml:space="preserve">Exchange Rate (1 USD = Ksh)</t>
  </si>
  <si>
    <t xml:space="preserve">← Update if rate changes</t>
  </si>
  <si>
    <t xml:space="preserve">SECTION A — ONE-TIME STARTUP COSTS</t>
  </si>
  <si>
    <t xml:space="preserve">Item</t>
  </si>
  <si>
    <t xml:space="preserve">Amount (Ksh)</t>
  </si>
  <si>
    <t xml:space="preserve">Notes / Source</t>
  </si>
  <si>
    <t xml:space="preserve">Company Registration (Kenya)</t>
  </si>
  <si>
    <t xml:space="preserve">BRS/eCitizen — est. Ksh 20,000</t>
  </si>
  <si>
    <t xml:space="preserve">School Outreach (fares + miscellaneous)</t>
  </si>
  <si>
    <t xml:space="preserve">Transport, printing, communications — Month 1</t>
  </si>
  <si>
    <t xml:space="preserve">Domain Name (.com + privacy, $86/yr)</t>
  </si>
  <si>
    <t xml:space="preserve">Namecheap or similar. $78 domain + $8 privacy/yr</t>
  </si>
  <si>
    <t xml:space="preserve">Model Training &amp; Fine-Tuning ($1,000/yr)</t>
  </si>
  <si>
    <t xml:space="preserve">Annual cost, paid upfront Year 1</t>
  </si>
  <si>
    <t xml:space="preserve">TOTAL ONE-TIME COSTS</t>
  </si>
  <si>
    <t xml:space="preserve">Paid in Month 1 only</t>
  </si>
  <si>
    <t xml:space="preserve">SECTION B — MONTHLY FIXED COSTS (recurring every month)</t>
  </si>
  <si>
    <t xml:space="preserve">Vercel Deployment ($25/month)</t>
  </si>
  <si>
    <t xml:space="preserve">Frontend + serverless hosting</t>
  </si>
  <si>
    <t xml:space="preserve">Supabase ($25/month)</t>
  </si>
  <si>
    <t xml:space="preserve">Database + auth + storage</t>
  </si>
  <si>
    <t xml:space="preserve">Gemini API (base subscription)</t>
  </si>
  <si>
    <t xml:space="preserve">Google Gemini monthly plan — Ksh 900</t>
  </si>
  <si>
    <t xml:space="preserve">Electricity ($40/month)</t>
  </si>
  <si>
    <t xml:space="preserve">Home/office power for servers &amp; dev equipment</t>
  </si>
  <si>
    <t xml:space="preserve">TOTAL MONTHLY FIXED</t>
  </si>
  <si>
    <t xml:space="preserve">Does not include variable API or people costs</t>
  </si>
  <si>
    <t xml:space="preserve">SECTION C — VARIABLE COST (scales with usage)</t>
  </si>
  <si>
    <t xml:space="preserve">API Request Cost Rate ($ per 1,000 requests)</t>
  </si>
  <si>
    <t xml:space="preserve">Source: pricing stated. $5 per 1,000 requests.</t>
  </si>
  <si>
    <t xml:space="preserve">Exam Requests per Month (pilot)</t>
  </si>
  <si>
    <t xml:space="preserve">← Your pilot estimate. Change this to model scenarios.</t>
  </si>
  <si>
    <t xml:space="preserve">Monthly API Cost (calculated)</t>
  </si>
  <si>
    <t xml:space="preserve">Grows proportionally with exam volume</t>
  </si>
  <si>
    <t xml:space="preserve">TOTAL MONTHLY VARIABLE</t>
  </si>
  <si>
    <t xml:space="preserve">Grows as request volume grows</t>
  </si>
  <si>
    <t xml:space="preserve">SECTION D — PEOPLE COSTS</t>
  </si>
  <si>
    <t xml:space="preserve">Founder 1 Monthly Salary</t>
  </si>
  <si>
    <t xml:space="preserve">Set to 0 for now — adjust when funded</t>
  </si>
  <si>
    <t xml:space="preserve">Founder 2 Monthly Salary</t>
  </si>
  <si>
    <t xml:space="preserve">DevOps Engineer (contract — monthly)</t>
  </si>
  <si>
    <t xml:space="preserve">Ksh 20,000–30,000 range. Using Ksh 25,000 midpoint</t>
  </si>
  <si>
    <t xml:space="preserve">DevOps Contract Duration (months)</t>
  </si>
  <si>
    <t xml:space="preserve">Estimated 2 months to complete deployment setup</t>
  </si>
  <si>
    <t xml:space="preserve">Total DevOps One-Time Cost</t>
  </si>
  <si>
    <t xml:space="preserve">One-time contract, not recurring</t>
  </si>
  <si>
    <t xml:space="preserve">TOTAL MONTHLY PEOPLE (recurring)</t>
  </si>
  <si>
    <t xml:space="preserve">Monthly founder salaries only (DevOps is one-time)</t>
  </si>
  <si>
    <t xml:space="preserve">SECTION E — SUMMARY TOTALS</t>
  </si>
  <si>
    <t xml:space="preserve">Total One-Time Costs (registration, domain, training)</t>
  </si>
  <si>
    <t xml:space="preserve">From Section A</t>
  </si>
  <si>
    <t xml:space="preserve">From Section D — contract labour</t>
  </si>
  <si>
    <t xml:space="preserve">ALL ONE-TIME COSTS COMBINED</t>
  </si>
  <si>
    <t xml:space="preserve">Total Monthly Fixed (infrastructure)</t>
  </si>
  <si>
    <t xml:space="preserve">From Section B</t>
  </si>
  <si>
    <t xml:space="preserve">Total Monthly Variable (API at pilot volume)</t>
  </si>
  <si>
    <t xml:space="preserve">From Section C — scales with requests</t>
  </si>
  <si>
    <t xml:space="preserve">Total Monthly People (founder salaries)</t>
  </si>
  <si>
    <t xml:space="preserve">From Section D</t>
  </si>
  <si>
    <t xml:space="preserve">TOTAL MONTHLY BURN RATE</t>
  </si>
  <si>
    <t xml:space="preserve">SECTION F — AI MODEL COSTS (MVP Phase)</t>
  </si>
  <si>
    <t xml:space="preserve">Claude Sonnet 4.6 — Input ($/M tokens)</t>
  </si>
  <si>
    <t xml:space="preserve">Anthropic API. Batch API = $1.50/M (50% off)</t>
  </si>
  <si>
    <t xml:space="preserve">Claude Sonnet 4.6 — Output ($/M tokens)</t>
  </si>
  <si>
    <t xml:space="preserve">Anthropic API. Batch API = $7.50/M (50% off)</t>
  </si>
  <si>
    <t xml:space="preserve">Gemini 3 Flash — Input ($/M tokens)</t>
  </si>
  <si>
    <t xml:space="preserve">Google AI. Batch API = $0.25/M (50% off)</t>
  </si>
  <si>
    <t xml:space="preserve">Gemini 3 Flash — Output ($/M tokens)</t>
  </si>
  <si>
    <t xml:space="preserve">Google AI. Batch API = $1.50/M (50% off)</t>
  </si>
  <si>
    <t xml:space="preserve">Avg Input Tokens per Paper (marking, 10 Qs)</t>
  </si>
  <si>
    <t xml:space="preserve">Rubric + answer per question x10</t>
  </si>
  <si>
    <t xml:space="preserve">Avg Output Tokens per Paper (marking, 10 Qs)</t>
  </si>
  <si>
    <t xml:space="preserve">Score + feedback per question x10</t>
  </si>
  <si>
    <t xml:space="preserve">Pilot Papers per Month</t>
  </si>
  <si>
    <t xml:space="preserve">← Adjust for your pilot volume</t>
  </si>
  <si>
    <t xml:space="preserve">Claude Cost per Paper — Standard ($)</t>
  </si>
  <si>
    <t xml:space="preserve">Input + output cost per paper</t>
  </si>
  <si>
    <t xml:space="preserve">Claude Cost per Paper — Batch ($)</t>
  </si>
  <si>
    <t xml:space="preserve">50% Batch API discount</t>
  </si>
  <si>
    <t xml:space="preserve">Gemini 3 Flash Cost per Paper — Standard ($)</t>
  </si>
  <si>
    <t xml:space="preserve">Gemini 3 Flash Cost per Paper — Batch ($)</t>
  </si>
  <si>
    <t xml:space="preserve">Monthly Claude AI Cost — Standard (Ksh)</t>
  </si>
  <si>
    <t xml:space="preserve">Papers × cost/paper × exchange rate</t>
  </si>
  <si>
    <t xml:space="preserve">Monthly Claude AI Cost — Batch (Ksh)</t>
  </si>
  <si>
    <t xml:space="preserve">Recommended: use batch for grading jobs</t>
  </si>
  <si>
    <t xml:space="preserve">Monthly Gemini Fallback Cost — Batch (Ksh)</t>
  </si>
  <si>
    <t xml:space="preserve">20% of papers routed to Gemini as fallback</t>
  </si>
  <si>
    <t xml:space="preserve">TOTAL MONTHLY AI COST — BATCH MODE (Ksh)</t>
  </si>
  <si>
    <t xml:space="preserve">Claude batch + Gemini fallback</t>
  </si>
  <si>
    <t xml:space="preserve">SECTION G — OWN MODEL (Acsis Model — Year 2+)</t>
  </si>
  <si>
    <t xml:space="preserve">Fine-tune DeepSeek-OCR 2 (one-time, $)</t>
  </si>
  <si>
    <t xml:space="preserve">A100 GPU ~2-4hrs on RunPod at ~$2.79/hr</t>
  </si>
  <si>
    <t xml:space="preserve">Fine-tune Qwen 2.5-VL 7B (one-time, $)</t>
  </si>
  <si>
    <t xml:space="preserve">H100 GPU ~6-10hrs — handwriting + segmentation</t>
  </si>
  <si>
    <t xml:space="preserve">Fine-tune Llama 4 Scout (one-time, $)</t>
  </si>
  <si>
    <t xml:space="preserve">H100 80GB ~10-15hrs via QLoRA+Unsloth. 2-3 runs. Source: unsloth.ai/blog/llama4, Mar 2026</t>
  </si>
  <si>
    <t xml:space="preserve">TOTAL FINE-TUNE COST (one-time, Ksh)</t>
  </si>
  <si>
    <t xml:space="preserve">One-time per training run. Re-run every 6 months</t>
  </si>
  <si>
    <t xml:space="preserve">Own Model Monthly Hosting — GPU VPS ($)</t>
  </si>
  <si>
    <t xml:space="preserve">(H100 $2.79/hr + RTX4090 $0.39/hr) × 720hrs + storage. Source: runpod.io, Mar 2026</t>
  </si>
  <si>
    <t xml:space="preserve">Own Model Monthly Cost (Ksh)</t>
  </si>
  <si>
    <t xml:space="preserve">Flat cost regardless of paper volume — both GPUs always on</t>
  </si>
  <si>
    <t xml:space="preserve">Own Model Cost per Paper at 5,000/mo (Ksh)</t>
  </si>
  <si>
    <t xml:space="preserve">Essentially zero marginal cost at scale</t>
  </si>
  <si>
    <t xml:space="preserve">GPU Cloud Platform</t>
  </si>
  <si>
    <t xml:space="preserve">RunPod — Secure Cloud (On-Demand, production)</t>
  </si>
  <si>
    <t xml:space="preserve">On-demand = no interruption for live serving. Source: runpod.io/pricing, Mar 2026</t>
  </si>
  <si>
    <t xml:space="preserve">Primary GPU (Acsis-Mark / Scout)</t>
  </si>
  <si>
    <t xml:space="preserve">NVIDIA H100 PCIe (80GB VRAM)</t>
  </si>
  <si>
    <t xml:space="preserve">Scout 4-bit = ~55GB VRAM + 8GB KV cache. Single H100 fits with headroom. Source: runpod.io/blog/llama4-scout-maverick</t>
  </si>
  <si>
    <t xml:space="preserve">H100 PCIe On-Demand Rate ($/hr)</t>
  </si>
  <si>
    <t xml:space="preserve">RunPod on-demand H100 80GB. Source: runpod.io/compare/aws, Mar 2026</t>
  </si>
  <si>
    <t xml:space="preserve">Secondary GPU (Acsis-OCR + Acsis-Vision)</t>
  </si>
  <si>
    <t xml:space="preserve">NVIDIA RTX 4090 (24GB VRAM)</t>
  </si>
  <si>
    <t xml:space="preserve">DeepSeek-OCR 2 + Qwen 2.5-VL 7B share one RTX 4090. Both fit easily (&lt;10GB quant each).</t>
  </si>
  <si>
    <t xml:space="preserve">RTX 4090 On-Demand Rate ($/hr)</t>
  </si>
  <si>
    <t xml:space="preserve">RunPod on-demand RTX 4090. Source: runpod.io/pricing, Mar 2026</t>
  </si>
  <si>
    <t xml:space="preserve">GPU Hours per Month</t>
  </si>
  <si>
    <t xml:space="preserve">24hr × 30 days (24/7). Set to 480 for 16hr/day to cut ~33% cost.</t>
  </si>
  <si>
    <t xml:space="preserve">Network Volume Storage ($/mo)</t>
  </si>
  <si>
    <t xml:space="preserve">$0.05/GB × ~90GB total weights (Scout 55GB + smaller models 35GB). RunPod storage pricing.</t>
  </si>
  <si>
    <t xml:space="preserve">WAKASA LABS — RUNWAY &amp; FUNDING REQUIREMENT</t>
  </si>
  <si>
    <t xml:space="preserve">6-MONTH RUNWAY BREAKDOWN</t>
  </si>
  <si>
    <t xml:space="preserve">Cost Item</t>
  </si>
  <si>
    <t xml:space="preserve">Calculation</t>
  </si>
  <si>
    <t xml:space="preserve">Monthly?</t>
  </si>
  <si>
    <t xml:space="preserve">Notes</t>
  </si>
  <si>
    <t xml:space="preserve">One-time startup costs</t>
  </si>
  <si>
    <t xml:space="preserve">One-time</t>
  </si>
  <si>
    <t xml:space="preserve">Registration, domain, training, DevOps</t>
  </si>
  <si>
    <t xml:space="preserve">Monthly fixed (infra)</t>
  </si>
  <si>
    <t xml:space="preserve">Yes</t>
  </si>
  <si>
    <t xml:space="preserve">Ksh fixed × 6 months</t>
  </si>
  <si>
    <t xml:space="preserve">Monthly variable (API)</t>
  </si>
  <si>
    <t xml:space="preserve">At 1,300 requests/mo × 6 months</t>
  </si>
  <si>
    <t xml:space="preserve">Monthly people costs</t>
  </si>
  <si>
    <t xml:space="preserve">Founder salaries × 6 months</t>
  </si>
  <si>
    <t xml:space="preserve">SUBTOTAL — 6-Month Operational</t>
  </si>
  <si>
    <t xml:space="preserve">Safety Buffer (20%)</t>
  </si>
  <si>
    <t xml:space="preserve">Standard investor buffer — unexpected costs</t>
  </si>
  <si>
    <t xml:space="preserve">★ TOTAL 6-MONTH FUNDING NEEDED</t>
  </si>
  <si>
    <t xml:space="preserve">Amount to request from investor</t>
  </si>
  <si>
    <t xml:space="preserve">12-MONTH RUNWAY BREAKDOWN</t>
  </si>
  <si>
    <t xml:space="preserve">Ksh fixed × 12 months</t>
  </si>
  <si>
    <t xml:space="preserve">At 1,300 requests/mo × 12 months</t>
  </si>
  <si>
    <t xml:space="preserve">Founder salaries × 12 months</t>
  </si>
  <si>
    <t xml:space="preserve">Model cloud hosting (Months 7–12)</t>
  </si>
  <si>
    <t xml:space="preserve">GPU cloud — own model serving from Month 7 onward</t>
  </si>
  <si>
    <t xml:space="preserve">SUBTOTAL — 12-Month Operational</t>
  </si>
  <si>
    <t xml:space="preserve">★ TOTAL 12-MONTH FUNDING NEEDED</t>
  </si>
  <si>
    <t xml:space="preserve">INVESTOR SUMMARY — WHAT TO ASK FOR</t>
  </si>
  <si>
    <t xml:space="preserve">Scenario</t>
  </si>
  <si>
    <t xml:space="preserve">Ksh Amount</t>
  </si>
  <si>
    <t xml:space="preserve">USD Amount</t>
  </si>
  <si>
    <t xml:space="preserve">Runway</t>
  </si>
  <si>
    <t xml:space="preserve">Recommendation</t>
  </si>
  <si>
    <t xml:space="preserve">6-Month Runway</t>
  </si>
  <si>
    <t xml:space="preserve">6 months</t>
  </si>
  <si>
    <t xml:space="preserve">Minimum viable — tight</t>
  </si>
  <si>
    <t xml:space="preserve">12-Month Runway</t>
  </si>
  <si>
    <t xml:space="preserve">12 months</t>
  </si>
  <si>
    <t xml:space="preserve">★ RECOMMENDED gives time to reach revenue</t>
  </si>
  <si>
    <t xml:space="preserve">AI MODEL COSTS — MVP PHASE SUMMARY</t>
  </si>
  <si>
    <t xml:space="preserve">Monthly Cost (Ksh)</t>
  </si>
  <si>
    <t xml:space="preserve">Annual Cost (Ksh)</t>
  </si>
  <si>
    <t xml:space="preserve">Pilot: 500 papers/mo — Claude Batch</t>
  </si>
  <si>
    <t xml:space="preserve">Claude Sonnet 4.6 batch pricing</t>
  </si>
  <si>
    <t xml:space="preserve">Growth: 2,000 papers/mo — Claude Batch</t>
  </si>
  <si>
    <t xml:space="preserve">Exceeds infra cost — plan model transition</t>
  </si>
  <si>
    <t xml:space="preserve">Scale: 5,000 papers/mo — Own Model</t>
  </si>
  <si>
    <t xml:space="preserve">Flat GPU hosting. Crossover point reached</t>
  </si>
  <si>
    <t xml:space="preserve">Fine-Tune Investment (one-time, Ksh)</t>
  </si>
  <si>
    <t xml:space="preserve">Covers all 3 models. Recur every 6 months</t>
  </si>
  <si>
    <t xml:space="preserve">WAKASA LABS — BREAK-EVEN PRICING CALCULATOR</t>
  </si>
  <si>
    <t xml:space="preserve">Minimum price per exam to cover all monthly costs at each volume level</t>
  </si>
  <si>
    <t xml:space="preserve">Claude Batch/Paper ($)</t>
  </si>
  <si>
    <t xml:space="preserve">Gemini Flash/Paper ($)</t>
  </si>
  <si>
    <t xml:space="preserve">Own Model/Paper ($)
hosting amortised</t>
  </si>
  <si>
    <t xml:space="preserve">Requests/Month</t>
  </si>
  <si>
    <t xml:space="preserve">Monthly Infra (Ksh)</t>
  </si>
  <si>
    <t xml:space="preserve">Monthly API Cost (Ksh)</t>
  </si>
  <si>
    <t xml:space="preserve">Total Monthly Burn (Ksh)</t>
  </si>
  <si>
    <t xml:space="preserve">Min Price/Exam (Ksh)</t>
  </si>
  <si>
    <t xml:space="preserve">Min Price/Exam ($)</t>
  </si>
  <si>
    <t xml:space="preserve">Claude Sonnet 4.6 batch: $1.50/$7.50 per 1M tokens (in/out). Own Model: 1x H100 PCIe ($2.79/hr) + 1x RTX 4090 ($0.39/hr) on RunPod on-demand, amortized per paper volume. Source: runpod.io, Mar 2026.</t>
  </si>
  <si>
    <t xml:space="preserve">★ Highlighted row = your pilot volume (1,300 requests). Founder salaries excluded from break-even — add when set.</t>
  </si>
  <si>
    <t xml:space="preserve">WAKASA LABS — MONTH-BY-MONTH COST TRACKER (YEAR 1)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</si>
  <si>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</si>
  <si>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</si>
  <si>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</si>
  <si>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</si>
  <si>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</si>
  <si>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</si>
  <si>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</si>
  <si>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</si>
  <si>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</si>
  <si>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</si>
  <si>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</si>
  <si>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</si>
  <si>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Company Registration</t>
  </si>
  <si>
    <t xml:space="preserve">School Outreach</t>
  </si>
  <si>
    <t xml:space="preserve">Domain (annual, paid M1)</t>
  </si>
  <si>
    <t xml:space="preserve">Model Training (annual M1)</t>
  </si>
  <si>
    <t xml:space="preserve">DevOps Contract (2 months)</t>
  </si>
  <si>
    <t xml:space="preserve">Vercel ($25/mo)</t>
  </si>
  <si>
    <t xml:space="preserve">Supabase ($25/mo)</t>
  </si>
  <si>
    <t xml:space="preserve">Gemini API</t>
  </si>
  <si>
    <t xml:space="preserve">Electricity &amp; Net ($40/mo)</t>
  </si>
  <si>
    <t xml:space="preserve">API Requests (variable)</t>
  </si>
  <si>
    <t xml:space="preserve">-</t>
  </si>
  <si>
    <t xml:space="preserve">Model Cloud Hosting Costs</t>
  </si>
  <si>
    <t xml:space="preserve">Founder 1 Salary</t>
  </si>
  <si>
    <t xml:space="preserve">Founder 2 Salary</t>
  </si>
  <si>
    <t xml:space="preserve">TOTAL MONTHLY SPEND</t>
  </si>
  <si>
    <t xml:space="preserve">CUMULATIVE SPEND</t>
  </si>
  <si>
    <t xml:space="preserve">← Phase 1: API (Months 1-6)</t>
  </si>
  <si>
    <t xml:space="preserve">← Phase 2: Own Model (Months 7-12)</t>
  </si>
  <si>
    <t xml:space="preserve">WAKASA LABS — AI MODEL ROADMAP &amp; ECONOMICS</t>
  </si>
  <si>
    <t xml:space="preserve">PHASE 1: MVP (Months 1-6) — Claude Primary, Gemini Fallback</t>
  </si>
  <si>
    <t xml:space="preserve">Job</t>
  </si>
  <si>
    <t xml:space="preserve">Model</t>
  </si>
  <si>
    <t xml:space="preserve">Mode</t>
  </si>
  <si>
    <t xml:space="preserve">Cost/Paper (Ksh)</t>
  </si>
  <si>
    <t xml:space="preserve">Handwriting OCR</t>
  </si>
  <si>
    <t xml:space="preserve">Google Cloud Vision</t>
  </si>
  <si>
    <t xml:space="preserve">API (per call)</t>
  </si>
  <si>
    <t xml:space="preserve">~0.50</t>
  </si>
  <si>
    <t xml:space="preserve">Best handwriting accuracy. Keep as primary OCR</t>
  </si>
  <si>
    <t xml:space="preserve">Structure Extraction</t>
  </si>
  <si>
    <t xml:space="preserve">DeepSeek-OCR 2</t>
  </si>
  <si>
    <t xml:space="preserve">Self-hosted (free)</t>
  </si>
  <si>
    <t xml:space="preserve">~0.00</t>
  </si>
  <si>
    <t xml:space="preserve">MIT license. Runs locally. Question segmentation</t>
  </si>
  <si>
    <t xml:space="preserve">AI Marking (primary)</t>
  </si>
  <si>
    <t xml:space="preserve">Claude Sonnet 4.6</t>
  </si>
  <si>
    <t xml:space="preserve">Batch API (opt-in)</t>
  </si>
  <si>
    <t xml:space="preserve">~4.42</t>
  </si>
  <si>
    <t xml:space="preserve">Batch = 50% off. Only fires on AI-assist requests</t>
  </si>
  <si>
    <t xml:space="preserve">AI Marking (fallback)</t>
  </si>
  <si>
    <t xml:space="preserve">Gemini 3 Flash</t>
  </si>
  <si>
    <t xml:space="preserve">Batch API (auto)</t>
  </si>
  <si>
    <t xml:space="preserve">~0.55</t>
  </si>
  <si>
    <t xml:space="preserve">20% of requests routed to Gemini. Redundancy</t>
  </si>
  <si>
    <t xml:space="preserve">MCQ Grading</t>
  </si>
  <si>
    <t xml:space="preserve">Local (server-side)</t>
  </si>
  <si>
    <t xml:space="preserve">Zero cost</t>
  </si>
  <si>
    <t xml:space="preserve">0.00</t>
  </si>
  <si>
    <t xml:space="preserve">Pure deterministic match. No API cost</t>
  </si>
  <si>
    <t xml:space="preserve">Local Keyword Grading</t>
  </si>
  <si>
    <t xml:space="preserve">Cosine similarity on TF-IDF. No API cost</t>
  </si>
  <si>
    <t xml:space="preserve">PHASE 2: GROWTH (Months 7-18) — Data Collection &amp; Fine-Tuning</t>
  </si>
  <si>
    <t xml:space="preserve">Training Data Collection Strategy</t>
  </si>
  <si>
    <t xml:space="preserve">Source</t>
  </si>
  <si>
    <t xml:space="preserve">Est. Pairs / 6 months</t>
  </si>
  <si>
    <t xml:space="preserve">Use For</t>
  </si>
  <si>
    <t xml:space="preserve">OCR corrections by lecturers</t>
  </si>
  <si>
    <t xml:space="preserve">Platform usage</t>
  </si>
  <si>
    <t xml:space="preserve">5,000+</t>
  </si>
  <si>
    <t xml:space="preserve">DeepSeek-OCR 2 fine-tune</t>
  </si>
  <si>
    <t xml:space="preserve">Graded answers (question + score + feedback)</t>
  </si>
  <si>
    <t xml:space="preserve">20,000+</t>
  </si>
  <si>
    <t xml:space="preserve">Llama 4 Scout fine-tune (QLoRA via Unsloth on H100)</t>
  </si>
  <si>
    <t xml:space="preserve">Scan regions mapped to questions</t>
  </si>
  <si>
    <t xml:space="preserve">10,000+</t>
  </si>
  <si>
    <t xml:space="preserve">Qwen 2.5-VL segmentation fine-tune</t>
  </si>
  <si>
    <t xml:space="preserve">PHASE 3: SCALE (Year 2+) — Acsis Model Deployed</t>
  </si>
  <si>
    <t xml:space="preserve">Base Model</t>
  </si>
  <si>
    <t xml:space="preserve">Fine-Tune Cost (Ksh)</t>
  </si>
  <si>
    <t xml:space="preserve">Hosting Cost/mo (Ksh)</t>
  </si>
  <si>
    <t xml:space="preserve">GPU allocation</t>
  </si>
  <si>
    <t xml:space="preserve">Acsis-OCR (DeepSeek-OCR 2)</t>
  </si>
  <si>
    <t xml:space="preserve">Structure extraction + printed text</t>
  </si>
  <si>
    <t xml:space="preserve">deepseek-ai/DeepSeek-OCR-2</t>
  </si>
  <si>
    <t xml:space="preserve">50% RTX 4090</t>
  </si>
  <si>
    <t xml:space="preserve">Acsis-Vision (Qwen 2.5-VL 7B)</t>
  </si>
  <si>
    <t xml:space="preserve">Handwriting + question segmentation</t>
  </si>
  <si>
    <t xml:space="preserve">Qwen/Qwen2.5-VL-7B-Instruct</t>
  </si>
  <si>
    <t xml:space="preserve">Acsis-Mark (Llama 4 Scout)</t>
  </si>
  <si>
    <t xml:space="preserve">Answer marking + feedback (multimodal, vision-native)</t>
  </si>
  <si>
    <t xml:space="preserve">meta-llama/Llama-4-Scout-17B-16E-Instruct</t>
  </si>
  <si>
    <t xml:space="preserve">100% H100 PCIe</t>
  </si>
  <si>
    <t xml:space="preserve">TOTAL — Acsis Model v1</t>
  </si>
  <si>
    <t xml:space="preserve">Full pipeline replacement</t>
  </si>
  <si>
    <t xml:space="preserve">All three combined</t>
  </si>
  <si>
    <t xml:space="preserve">Full pipeline</t>
  </si>
  <si>
    <t xml:space="preserve">COST CROSSOVER ANALYSIS</t>
  </si>
  <si>
    <t xml:space="preserve">Papers/Month</t>
  </si>
  <si>
    <t xml:space="preserve">Claude Batch (Ksh/mo)</t>
  </si>
  <si>
    <t xml:space="preserve">Gemini Fallback (Ksh/mo)</t>
  </si>
  <si>
    <t xml:space="preserve">Total API (Ksh/mo)</t>
  </si>
  <si>
    <t xml:space="preserve">Own Model (Ksh/mo)</t>
  </si>
  <si>
    <t xml:space="preserve">Saving with Own Model</t>
  </si>
  <si>
    <t xml:space="preserve">Note: With Scout (H100 $2.79/hr) + RTX 4090 ($0.39/hr) on RunPod, own model = ~$2,294/mo (Ksh ~298,000). Crossover vs Claude Batch API ~90,000 papers/month. Scout is a quality + independence play — justify with marking accuracy, latency, and API lock-in avoidance.</t>
  </si>
  <si>
    <t xml:space="preserve">WAKASA LABS — GPU CLOUD HOSTING OPTIONS REFERENCE</t>
  </si>
  <si>
    <t xml:space="preserve">Research as at March 2026. Prices change frequently — always verify before committing.</t>
  </si>
  <si>
    <t xml:space="preserve">Platform</t>
  </si>
  <si>
    <t xml:space="preserve">Best For</t>
  </si>
  <si>
    <t xml:space="preserve">RTX 4090 $/hr</t>
  </si>
  <si>
    <t xml:space="preserve">A100 80GB $/hr</t>
  </si>
  <si>
    <t xml:space="preserve">Spot/Marketplace?</t>
  </si>
  <si>
    <t xml:space="preserve">URL</t>
  </si>
  <si>
    <t xml:space="preserve">RunPod
(Secure Cloud)</t>
  </si>
  <si>
    <t xml:space="preserve">Production inference — reliable uptime, templates, one-click deploy</t>
  </si>
  <si>
    <t xml:space="preserve">$0.39</t>
  </si>
  <si>
    <t xml:space="preserve">$1.50</t>
  </si>
  <si>
    <t xml:space="preserve">No (on-demand)
Community = spot ~50% off</t>
  </si>
  <si>
    <t xml:space="preserve">https://runpod.io/pricing</t>
  </si>
  <si>
    <t xml:space="preserve">Vast.ai</t>
  </si>
  <si>
    <t xml:space="preserve">Budget / research — cheapest raw prices via P2P marketplace</t>
  </si>
  <si>
    <t xml:space="preserve">~$0.20</t>
  </si>
  <si>
    <t xml:space="preserve">~$0.67</t>
  </si>
  <si>
    <t xml:space="preserve">Yes — marketplace
⚠ Uptime not guaranteed</t>
  </si>
  <si>
    <t xml:space="preserve">https://vast.ai</t>
  </si>
  <si>
    <t xml:space="preserve">Lambda Labs</t>
  </si>
  <si>
    <t xml:space="preserve">Research teams — no egress fees, good A100/H100 availability</t>
  </si>
  <si>
    <t xml:space="preserve">~$0.50</t>
  </si>
  <si>
    <t xml:space="preserve">$1.10</t>
  </si>
  <si>
    <t xml:space="preserve">No (reserved/on-demand)</t>
  </si>
  <si>
    <t xml:space="preserve">https://lambdalabs.com/service/gpu-cloud</t>
  </si>
  <si>
    <t xml:space="preserve">Together AI</t>
  </si>
  <si>
    <t xml:space="preserve">Serverless inference API — pay per token, no GPU management</t>
  </si>
  <si>
    <t xml:space="preserve">N/A</t>
  </si>
  <si>
    <t xml:space="preserve">Per-token billing</t>
  </si>
  <si>
    <t xml:space="preserve">https://together.ai/pricing</t>
  </si>
  <si>
    <t xml:space="preserve">Modal</t>
  </si>
  <si>
    <t xml:space="preserve">Serverless GPU functions — sub-second cold starts, auto-scale</t>
  </si>
  <si>
    <t xml:space="preserve">~$0.45</t>
  </si>
  <si>
    <t xml:space="preserve">~$1.60</t>
  </si>
  <si>
    <t xml:space="preserve">Serverless / per-second</t>
  </si>
  <si>
    <t xml:space="preserve">https://modal.com/pricing</t>
  </si>
  <si>
    <t xml:space="preserve">Hugging Face Endpoints</t>
  </si>
  <si>
    <t xml:space="preserve">Simplest deployment — 1-click from HF model hub</t>
  </si>
  <si>
    <t xml:space="preserve">~$0.60</t>
  </si>
  <si>
    <t xml:space="preserve">~$2.00</t>
  </si>
  <si>
    <t xml:space="preserve">No (dedicated endpoints)</t>
  </si>
  <si>
    <t xml:space="preserve">https://huggingface.co/pricing#endpoints</t>
  </si>
  <si>
    <t xml:space="preserve">Google Cloud (GCP)</t>
  </si>
  <si>
    <t xml:space="preserve">Enterprise / compliance — GCP ecosystem, high SLA</t>
  </si>
  <si>
    <t xml:space="preserve">~$1.20</t>
  </si>
  <si>
    <t xml:space="preserve">~$3.20</t>
  </si>
  <si>
    <t xml:space="preserve">Spot available (~60% off)</t>
  </si>
  <si>
    <t xml:space="preserve">https://cloud.google.com/compute/gpus-pricing</t>
  </si>
  <si>
    <t xml:space="preserve">★  OUR RECOMMENDATION</t>
  </si>
  <si>
    <t xml:space="preserve">For Wakasa Labs Phase 2 (own model, production serving): RunPod Secure Cloud on-demand gives the best balance of reliability and price. Use Vast.ai for fine-tuning runs only (cheaper spot, interruptions acceptable). Graduate to Together AI or Modal serverless once volume justifies per-token billing.</t>
  </si>
  <si>
    <t xml:space="preserve">COLOUR CODE LEGEND — all sheets</t>
  </si>
  <si>
    <t xml:space="preserve">Blue text</t>
  </si>
  <si>
    <t xml:space="preserve">Hardcoded input — you can/should change this</t>
  </si>
  <si>
    <t xml:space="preserve">Black text</t>
  </si>
  <si>
    <t xml:space="preserve">Formula — calculated automatically</t>
  </si>
  <si>
    <t xml:space="preserve">Dark green text</t>
  </si>
  <si>
    <t xml:space="preserve">Cross-sheet reference — links to another tab</t>
  </si>
  <si>
    <t xml:space="preserve">Yellow background</t>
  </si>
  <si>
    <t xml:space="preserve">Key assumption — review before presenting to investor</t>
  </si>
  <si>
    <t xml:space="preserve">Navy header</t>
  </si>
  <si>
    <t xml:space="preserve">Section header</t>
  </si>
  <si>
    <t xml:space="preserve">Light blue header</t>
  </si>
  <si>
    <t xml:space="preserve">Column header</t>
  </si>
  <si>
    <t xml:space="preserve">Pale blue row</t>
  </si>
  <si>
    <t xml:space="preserve">Total / subtotal row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</si>
</sst>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;\(#,##0\);\-"/>
    <numFmt numFmtId="167" formatCode="General"/>
    <numFmt numFmtId="168" formatCode="\$#,##0.00"/>
    <numFmt numFmtId="169" formatCode="\$#,##0"/>
    <numFmt numFmtId="170" formatCode="\$#,##0.00;&quot;($&quot;#,##0.00\);\-"/>
  </numFmts>
  <fonts count="3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8C6239"/>
      <name val="Arial"/>
      <family val="0"/>
      <charset val="1"/>
    </font>
    <font>
      <sz val="9"/>
      <color rgb="FFC8C0B8"/>
      <name val="Calibri"/>
      <family val="0"/>
      <charset val="134"/>
    </font>
    <font>
      <sz val="9"/>
      <color rgb="FF7A7570"/>
      <name val="Calibri"/>
      <family val="0"/>
      <charset val="134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8"/>
      <color rgb="FFCC0000"/>
      <name val="Arial"/>
      <family val="0"/>
      <charset val="1"/>
    </font>
    <font>
      <sz val="9"/>
      <color rgb="FF0064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Times New Roman"/>
      <family val="0"/>
      <charset val="1"/>
    </font>
    <font>
      <sz val="11"/>
      <color rgb="FF008000"/>
      <name val="Cambria"/>
      <family val="0"/>
      <charset val="1"/>
    </font>
    <font>
      <sz val="9"/>
      <color rgb="FF000000"/>
      <name val="Calibri"/>
      <family val="0"/>
      <charset val="134"/>
    </font>
    <font>
      <b val="true"/>
      <sz val="10"/>
      <color rgb="FF334A7C"/>
      <name val="Arial"/>
      <family val="0"/>
      <charset val="1"/>
    </font>
    <font>
      <i val="true"/>
      <sz val="9"/>
      <color rgb="FF8C6239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9"/>
      <color rgb="FF000000"/>
      <name val="Calibri"/>
      <family val="0"/>
      <charset val="1"/>
    </font>
    <font>
      <i val="true"/>
      <sz val="8"/>
      <color rgb="FF1F3864"/>
      <name val="Arial"/>
      <family val="0"/>
      <charset val="1"/>
    </font>
    <font>
      <i val="true"/>
      <sz val="8"/>
      <color rgb="FF7F6000"/>
      <name val="Arial"/>
      <family val="0"/>
      <charset val="1"/>
    </font>
    <font>
      <b val="true"/>
      <sz val="9"/>
      <color rgb="FFC8922A"/>
      <name val="Calibri"/>
      <family val="0"/>
      <charset val="134"/>
    </font>
    <font>
      <i val="true"/>
      <sz val="9"/>
      <color rgb="FF7A7570"/>
      <name val="Calibri"/>
      <family val="0"/>
      <charset val="134"/>
    </font>
    <font>
      <u val="single"/>
      <sz val="9"/>
      <color rgb="FF0563C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4A7C"/>
      </patternFill>
    </fill>
    <fill>
      <patternFill patternType="solid">
        <fgColor rgb="FFF0E8DF"/>
        <bgColor rgb="FFEBF1F7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BF1F7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EBF1F7"/>
        <bgColor rgb="FFE8F5E9"/>
      </patternFill>
    </fill>
    <fill>
      <patternFill patternType="solid">
        <fgColor rgb="FFE8F5E9"/>
        <bgColor rgb="FFEBF1F7"/>
      </patternFill>
    </fill>
    <fill>
      <patternFill patternType="solid">
        <fgColor rgb="FFFFF2CC"/>
        <bgColor rgb="FFF0E8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A7570"/>
      <rgbColor rgb="FF9999FF"/>
      <rgbColor rgb="FF8C6239"/>
      <rgbColor rgb="FFFFF2CC"/>
      <rgbColor rgb="FFE8F5E9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F7"/>
      <rgbColor rgb="FFF0E8DF"/>
      <rgbColor rgb="FFFAFAFA"/>
      <rgbColor rgb="FF99CCFF"/>
      <rgbColor rgb="FFFF99CC"/>
      <rgbColor rgb="FFCC99FF"/>
      <rgbColor rgb="FFC8C0B8"/>
      <rgbColor rgb="FF3366FF"/>
      <rgbColor rgb="FF33CCCC"/>
      <rgbColor rgb="FF99CC00"/>
      <rgbColor rgb="FFFFCC00"/>
      <rgbColor rgb="FFC8922A"/>
      <rgbColor rgb="FFFF6600"/>
      <rgbColor rgb="FF595959"/>
      <rgbColor rgb="FF969696"/>
      <rgbColor rgb="FF1F3864"/>
      <rgbColor rgb="FF339966"/>
      <rgbColor rgb="FF006400"/>
      <rgbColor rgb="FF333300"/>
      <rgbColor rgb="FF993300"/>
      <rgbColor rgb="FF993366"/>
      <rgbColor rgb="FF334A7C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runpod.io/pricing" TargetMode="External"/><Relationship Id="rId2" Type="http://schemas.openxmlformats.org/officeDocument/2006/relationships/hyperlink" Target="https://vast.ai/" TargetMode="External"/><Relationship Id="rId3" Type="http://schemas.openxmlformats.org/officeDocument/2006/relationships/hyperlink" Target="https://lambdalabs.com/service/gpu-cloud" TargetMode="External"/><Relationship Id="rId4" Type="http://schemas.openxmlformats.org/officeDocument/2006/relationships/hyperlink" Target="https://together.ai/pricing" TargetMode="External"/><Relationship Id="rId5" Type="http://schemas.openxmlformats.org/officeDocument/2006/relationships/hyperlink" Target="https://modal.com/pricing" TargetMode="External"/><Relationship Id="rId6" Type="http://schemas.openxmlformats.org/officeDocument/2006/relationships/hyperlink" Target="https://huggingface.co/pricing" TargetMode="External"/><Relationship Id="rId7" Type="http://schemas.openxmlformats.org/officeDocument/2006/relationships/hyperlink" Target="https://cloud.google.com/compute/gpus-pric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"/>
  <sheetViews>
    <sheetView showFormulas="false" showGridLines="false" showRowColHeaders="true" showZeros="true" rightToLeft="false" tabSelected="true" showOutlineSymbols="true" defaultGridColor="true" view="normal" topLeftCell="A56" colorId="64" zoomScale="118" zoomScaleNormal="118" zoomScalePageLayoutView="100" workbookViewId="0">
      <selection pane="topLeft" activeCell="B23" activeCellId="0" sqref="B23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4" min="4" style="1" width="18"/>
  </cols>
  <sheetData>
    <row r="1" customFormat="false" ht="21.75" hidden="false" customHeight="true" outlineLevel="0" collapsed="false">
      <c r="A1" s="2" t="s">
        <v>0</v>
      </c>
      <c r="B1" s="2"/>
      <c r="C1" s="2"/>
    </row>
    <row r="2" customFormat="false" ht="15" hidden="false" customHeight="true" outlineLevel="0" collapsed="false">
      <c r="A2" s="3" t="s">
        <v>1</v>
      </c>
      <c r="B2" s="4" t="n">
        <v>130</v>
      </c>
      <c r="C2" s="3" t="s">
        <v>2</v>
      </c>
    </row>
    <row r="3" customFormat="false" ht="15" hidden="false" customHeight="true" outlineLevel="0" collapsed="false">
      <c r="A3" s="5"/>
      <c r="B3" s="5"/>
      <c r="C3" s="5"/>
    </row>
    <row r="4" customFormat="false" ht="21.75" hidden="false" customHeight="true" outlineLevel="0" collapsed="false">
      <c r="A4" s="6" t="s">
        <v>3</v>
      </c>
      <c r="B4" s="6"/>
      <c r="C4" s="6"/>
    </row>
    <row r="5" customFormat="false" ht="15" hidden="false" customHeight="true" outlineLevel="0" collapsed="false">
      <c r="A5" s="7" t="s">
        <v>4</v>
      </c>
      <c r="B5" s="7" t="s">
        <v>5</v>
      </c>
      <c r="C5" s="8" t="s">
        <v>6</v>
      </c>
    </row>
    <row r="6" customFormat="false" ht="15" hidden="false" customHeight="true" outlineLevel="0" collapsed="false">
      <c r="A6" s="9" t="s">
        <v>7</v>
      </c>
      <c r="B6" s="10" t="n">
        <v>20000</v>
      </c>
      <c r="C6" s="11" t="s">
        <v>8</v>
      </c>
    </row>
    <row r="7" customFormat="false" ht="24" hidden="false" customHeight="true" outlineLevel="0" collapsed="false">
      <c r="A7" s="12" t="s">
        <v>9</v>
      </c>
      <c r="B7" s="10" t="n">
        <v>290000</v>
      </c>
      <c r="C7" s="13" t="s">
        <v>10</v>
      </c>
    </row>
    <row r="8" customFormat="false" ht="24" hidden="false" customHeight="true" outlineLevel="0" collapsed="false">
      <c r="A8" s="9" t="s">
        <v>11</v>
      </c>
      <c r="B8" s="14" t="n">
        <f aca="false">ROUND(86*B2,0)</f>
        <v>11180</v>
      </c>
      <c r="C8" s="11" t="s">
        <v>12</v>
      </c>
    </row>
    <row r="9" customFormat="false" ht="15" hidden="false" customHeight="true" outlineLevel="0" collapsed="false">
      <c r="A9" s="12" t="s">
        <v>13</v>
      </c>
      <c r="B9" s="15" t="n">
        <f aca="false">ROUND(1000*B2,0)</f>
        <v>130000</v>
      </c>
      <c r="C9" s="13" t="s">
        <v>14</v>
      </c>
    </row>
    <row r="10" customFormat="false" ht="19.5" hidden="false" customHeight="true" outlineLevel="0" collapsed="false">
      <c r="A10" s="16" t="s">
        <v>15</v>
      </c>
      <c r="B10" s="17" t="n">
        <f aca="false">SUM(B6:B9)</f>
        <v>451180</v>
      </c>
      <c r="C10" s="18" t="s">
        <v>16</v>
      </c>
    </row>
    <row r="11" customFormat="false" ht="15" hidden="false" customHeight="true" outlineLevel="0" collapsed="false">
      <c r="A11" s="5"/>
      <c r="B11" s="5"/>
      <c r="C11" s="5"/>
    </row>
    <row r="12" customFormat="false" ht="21.75" hidden="false" customHeight="true" outlineLevel="0" collapsed="false">
      <c r="A12" s="6" t="s">
        <v>17</v>
      </c>
      <c r="B12" s="6"/>
      <c r="C12" s="6"/>
    </row>
    <row r="13" customFormat="false" ht="15" hidden="false" customHeight="true" outlineLevel="0" collapsed="false">
      <c r="A13" s="7" t="s">
        <v>4</v>
      </c>
      <c r="B13" s="7" t="s">
        <v>5</v>
      </c>
      <c r="C13" s="8" t="s">
        <v>6</v>
      </c>
    </row>
    <row r="14" customFormat="false" ht="15" hidden="false" customHeight="true" outlineLevel="0" collapsed="false">
      <c r="A14" s="9" t="s">
        <v>18</v>
      </c>
      <c r="B14" s="14" t="n">
        <f aca="false">ROUND(25*B2,0)</f>
        <v>3250</v>
      </c>
      <c r="C14" s="11" t="s">
        <v>19</v>
      </c>
    </row>
    <row r="15" customFormat="false" ht="15" hidden="false" customHeight="true" outlineLevel="0" collapsed="false">
      <c r="A15" s="12" t="s">
        <v>20</v>
      </c>
      <c r="B15" s="15" t="n">
        <f aca="false">ROUND(25*B2,0)</f>
        <v>3250</v>
      </c>
      <c r="C15" s="13" t="s">
        <v>21</v>
      </c>
    </row>
    <row r="16" customFormat="false" ht="24" hidden="false" customHeight="true" outlineLevel="0" collapsed="false">
      <c r="A16" s="9" t="s">
        <v>22</v>
      </c>
      <c r="B16" s="10" t="n">
        <v>900</v>
      </c>
      <c r="C16" s="11" t="s">
        <v>23</v>
      </c>
    </row>
    <row r="17" customFormat="false" ht="24.75" hidden="false" customHeight="true" outlineLevel="0" collapsed="false">
      <c r="A17" s="12" t="s">
        <v>24</v>
      </c>
      <c r="B17" s="15" t="n">
        <f aca="false">ROUND(40*B2,0)</f>
        <v>5200</v>
      </c>
      <c r="C17" s="13" t="s">
        <v>25</v>
      </c>
    </row>
    <row r="18" customFormat="false" ht="24.75" hidden="false" customHeight="true" outlineLevel="0" collapsed="false">
      <c r="A18" s="16" t="s">
        <v>26</v>
      </c>
      <c r="B18" s="17" t="n">
        <f aca="false">SUM(B14:B17)</f>
        <v>12600</v>
      </c>
      <c r="C18" s="18" t="s">
        <v>27</v>
      </c>
    </row>
    <row r="19" customFormat="false" ht="15" hidden="false" customHeight="true" outlineLevel="0" collapsed="false">
      <c r="A19" s="5"/>
      <c r="B19" s="5"/>
      <c r="C19" s="5"/>
    </row>
    <row r="20" customFormat="false" ht="21.75" hidden="false" customHeight="true" outlineLevel="0" collapsed="false">
      <c r="A20" s="6" t="s">
        <v>28</v>
      </c>
      <c r="B20" s="6"/>
      <c r="C20" s="6"/>
    </row>
    <row r="21" customFormat="false" ht="15" hidden="false" customHeight="true" outlineLevel="0" collapsed="false">
      <c r="A21" s="7" t="s">
        <v>4</v>
      </c>
      <c r="B21" s="7" t="s">
        <v>5</v>
      </c>
      <c r="C21" s="8" t="s">
        <v>6</v>
      </c>
    </row>
    <row r="22" customFormat="false" ht="24" hidden="false" customHeight="true" outlineLevel="0" collapsed="false">
      <c r="A22" s="9" t="s">
        <v>29</v>
      </c>
      <c r="B22" s="10" t="n">
        <v>5</v>
      </c>
      <c r="C22" s="11" t="s">
        <v>30</v>
      </c>
    </row>
    <row r="23" customFormat="false" ht="24" hidden="false" customHeight="true" outlineLevel="0" collapsed="false">
      <c r="A23" s="12" t="s">
        <v>31</v>
      </c>
      <c r="B23" s="10" t="n">
        <v>5000</v>
      </c>
      <c r="C23" s="19" t="s">
        <v>32</v>
      </c>
    </row>
    <row r="24" customFormat="false" ht="15" hidden="false" customHeight="true" outlineLevel="0" collapsed="false">
      <c r="A24" s="9" t="s">
        <v>33</v>
      </c>
      <c r="B24" s="14" t="n">
        <f aca="false">ROUND((B23/1000)*B22*B2,0)</f>
        <v>3250</v>
      </c>
      <c r="C24" s="11" t="s">
        <v>34</v>
      </c>
    </row>
    <row r="25" customFormat="false" ht="15" hidden="false" customHeight="true" outlineLevel="0" collapsed="false">
      <c r="A25" s="16" t="s">
        <v>35</v>
      </c>
      <c r="B25" s="17" t="n">
        <f aca="false">B24</f>
        <v>3250</v>
      </c>
      <c r="C25" s="18" t="s">
        <v>36</v>
      </c>
    </row>
    <row r="26" customFormat="false" ht="15" hidden="false" customHeight="true" outlineLevel="0" collapsed="false">
      <c r="A26" s="5"/>
      <c r="B26" s="5"/>
      <c r="C26" s="5"/>
    </row>
    <row r="27" customFormat="false" ht="21.75" hidden="false" customHeight="true" outlineLevel="0" collapsed="false">
      <c r="A27" s="6" t="s">
        <v>37</v>
      </c>
      <c r="B27" s="6"/>
      <c r="C27" s="6"/>
    </row>
    <row r="28" customFormat="false" ht="15" hidden="false" customHeight="true" outlineLevel="0" collapsed="false">
      <c r="A28" s="7" t="s">
        <v>4</v>
      </c>
      <c r="B28" s="7" t="s">
        <v>5</v>
      </c>
      <c r="C28" s="8" t="s">
        <v>6</v>
      </c>
    </row>
    <row r="29" customFormat="false" ht="21.75" hidden="false" customHeight="true" outlineLevel="0" collapsed="false">
      <c r="A29" s="9" t="s">
        <v>38</v>
      </c>
      <c r="B29" s="10" t="n">
        <v>0</v>
      </c>
      <c r="C29" s="11" t="s">
        <v>39</v>
      </c>
    </row>
    <row r="30" customFormat="false" ht="21.75" hidden="false" customHeight="true" outlineLevel="0" collapsed="false">
      <c r="A30" s="12" t="s">
        <v>40</v>
      </c>
      <c r="B30" s="10" t="n">
        <v>0</v>
      </c>
      <c r="C30" s="13" t="s">
        <v>39</v>
      </c>
    </row>
    <row r="31" customFormat="false" ht="24" hidden="false" customHeight="true" outlineLevel="0" collapsed="false">
      <c r="A31" s="9" t="s">
        <v>41</v>
      </c>
      <c r="B31" s="10" t="n">
        <v>25000</v>
      </c>
      <c r="C31" s="11" t="s">
        <v>42</v>
      </c>
    </row>
    <row r="32" customFormat="false" ht="24" hidden="false" customHeight="true" outlineLevel="0" collapsed="false">
      <c r="A32" s="12" t="s">
        <v>43</v>
      </c>
      <c r="B32" s="10" t="n">
        <v>2</v>
      </c>
      <c r="C32" s="13" t="s">
        <v>44</v>
      </c>
    </row>
    <row r="33" customFormat="false" ht="15" hidden="false" customHeight="true" outlineLevel="0" collapsed="false">
      <c r="A33" s="9" t="s">
        <v>45</v>
      </c>
      <c r="B33" s="14" t="n">
        <f aca="false">B31*B32</f>
        <v>50000</v>
      </c>
      <c r="C33" s="11" t="s">
        <v>46</v>
      </c>
    </row>
    <row r="34" customFormat="false" ht="24.75" hidden="false" customHeight="true" outlineLevel="0" collapsed="false">
      <c r="A34" s="16" t="s">
        <v>47</v>
      </c>
      <c r="B34" s="17" t="n">
        <f aca="false">B29+B30</f>
        <v>0</v>
      </c>
      <c r="C34" s="18" t="s">
        <v>48</v>
      </c>
    </row>
    <row r="35" customFormat="false" ht="15" hidden="false" customHeight="true" outlineLevel="0" collapsed="false">
      <c r="A35" s="5"/>
      <c r="B35" s="5"/>
      <c r="C35" s="5"/>
    </row>
    <row r="36" customFormat="false" ht="21.75" hidden="false" customHeight="true" outlineLevel="0" collapsed="false">
      <c r="A36" s="6" t="s">
        <v>49</v>
      </c>
      <c r="B36" s="6"/>
      <c r="C36" s="6"/>
    </row>
    <row r="37" customFormat="false" ht="15" hidden="false" customHeight="true" outlineLevel="0" collapsed="false">
      <c r="A37" s="7" t="s">
        <v>4</v>
      </c>
      <c r="B37" s="7" t="s">
        <v>5</v>
      </c>
      <c r="C37" s="8" t="s">
        <v>6</v>
      </c>
    </row>
    <row r="38" customFormat="false" ht="23.25" hidden="false" customHeight="true" outlineLevel="0" collapsed="false">
      <c r="A38" s="9" t="s">
        <v>50</v>
      </c>
      <c r="B38" s="14" t="n">
        <f aca="false">B10</f>
        <v>451180</v>
      </c>
      <c r="C38" s="11" t="s">
        <v>51</v>
      </c>
    </row>
    <row r="39" customFormat="false" ht="15" hidden="false" customHeight="true" outlineLevel="0" collapsed="false">
      <c r="A39" s="12" t="s">
        <v>45</v>
      </c>
      <c r="B39" s="15" t="n">
        <f aca="false">B33</f>
        <v>50000</v>
      </c>
      <c r="C39" s="13" t="s">
        <v>52</v>
      </c>
    </row>
    <row r="40" customFormat="false" ht="15" hidden="false" customHeight="true" outlineLevel="0" collapsed="false">
      <c r="A40" s="20" t="s">
        <v>53</v>
      </c>
      <c r="B40" s="21" t="n">
        <f aca="false">B38+B39</f>
        <v>501180</v>
      </c>
      <c r="C40" s="22"/>
    </row>
    <row r="41" customFormat="false" ht="15" hidden="false" customHeight="true" outlineLevel="0" collapsed="false">
      <c r="A41" s="12"/>
      <c r="B41" s="23"/>
      <c r="C41" s="19"/>
    </row>
    <row r="42" customFormat="false" ht="15" hidden="false" customHeight="true" outlineLevel="0" collapsed="false">
      <c r="A42" s="9" t="s">
        <v>54</v>
      </c>
      <c r="B42" s="14" t="n">
        <f aca="false">B18</f>
        <v>12600</v>
      </c>
      <c r="C42" s="11" t="s">
        <v>55</v>
      </c>
    </row>
    <row r="43" customFormat="false" ht="24" hidden="false" customHeight="true" outlineLevel="0" collapsed="false">
      <c r="A43" s="12" t="s">
        <v>56</v>
      </c>
      <c r="B43" s="15" t="n">
        <f aca="false">B25</f>
        <v>3250</v>
      </c>
      <c r="C43" s="13" t="s">
        <v>57</v>
      </c>
    </row>
    <row r="44" customFormat="false" ht="15" hidden="false" customHeight="true" outlineLevel="0" collapsed="false">
      <c r="A44" s="9" t="s">
        <v>58</v>
      </c>
      <c r="B44" s="14" t="n">
        <f aca="false">B34</f>
        <v>0</v>
      </c>
      <c r="C44" s="11" t="s">
        <v>59</v>
      </c>
    </row>
    <row r="45" customFormat="false" ht="15" hidden="false" customHeight="true" outlineLevel="0" collapsed="false">
      <c r="A45" s="16" t="s">
        <v>60</v>
      </c>
      <c r="B45" s="17" t="n">
        <f aca="false">B42+B43+B44</f>
        <v>15850</v>
      </c>
      <c r="C45" s="16"/>
    </row>
    <row r="46" customFormat="false" ht="15" hidden="false" customHeight="true" outlineLevel="0" collapsed="false">
      <c r="A46" s="5"/>
      <c r="B46" s="5"/>
      <c r="C46" s="5"/>
    </row>
    <row r="47" customFormat="false" ht="15" hidden="false" customHeight="true" outlineLevel="0" collapsed="false">
      <c r="A47" s="6" t="s">
        <v>61</v>
      </c>
      <c r="B47" s="6"/>
      <c r="C47" s="6"/>
    </row>
    <row r="48" customFormat="false" ht="15" hidden="false" customHeight="true" outlineLevel="0" collapsed="false">
      <c r="A48" s="7" t="s">
        <v>4</v>
      </c>
      <c r="B48" s="7" t="s">
        <v>5</v>
      </c>
      <c r="C48" s="8" t="s">
        <v>6</v>
      </c>
    </row>
    <row r="49" customFormat="false" ht="15" hidden="false" customHeight="true" outlineLevel="0" collapsed="false">
      <c r="A49" s="24" t="s">
        <v>62</v>
      </c>
      <c r="B49" s="25" t="n">
        <v>3</v>
      </c>
      <c r="C49" s="26" t="s">
        <v>63</v>
      </c>
    </row>
    <row r="50" customFormat="false" ht="15" hidden="false" customHeight="true" outlineLevel="0" collapsed="false">
      <c r="A50" s="24" t="s">
        <v>64</v>
      </c>
      <c r="B50" s="25" t="n">
        <v>15</v>
      </c>
      <c r="C50" s="26" t="s">
        <v>65</v>
      </c>
    </row>
    <row r="51" customFormat="false" ht="15" hidden="false" customHeight="true" outlineLevel="0" collapsed="false">
      <c r="A51" s="24" t="s">
        <v>66</v>
      </c>
      <c r="B51" s="25" t="n">
        <v>0.5</v>
      </c>
      <c r="C51" s="26" t="s">
        <v>67</v>
      </c>
    </row>
    <row r="52" customFormat="false" ht="15" hidden="false" customHeight="true" outlineLevel="0" collapsed="false">
      <c r="A52" s="24" t="s">
        <v>68</v>
      </c>
      <c r="B52" s="25" t="n">
        <v>3</v>
      </c>
      <c r="C52" s="26" t="s">
        <v>69</v>
      </c>
    </row>
    <row r="53" customFormat="false" ht="15" hidden="false" customHeight="true" outlineLevel="0" collapsed="false">
      <c r="A53" s="24" t="s">
        <v>70</v>
      </c>
      <c r="B53" s="25" t="n">
        <v>5000</v>
      </c>
      <c r="C53" s="26" t="s">
        <v>71</v>
      </c>
    </row>
    <row r="54" customFormat="false" ht="15" hidden="false" customHeight="true" outlineLevel="0" collapsed="false">
      <c r="A54" s="24" t="s">
        <v>72</v>
      </c>
      <c r="B54" s="25" t="n">
        <v>3500</v>
      </c>
      <c r="C54" s="26" t="s">
        <v>73</v>
      </c>
    </row>
    <row r="55" customFormat="false" ht="15" hidden="false" customHeight="true" outlineLevel="0" collapsed="false">
      <c r="A55" s="24" t="s">
        <v>74</v>
      </c>
      <c r="B55" s="25" t="n">
        <v>500</v>
      </c>
      <c r="C55" s="27" t="s">
        <v>75</v>
      </c>
    </row>
    <row r="56" customFormat="false" ht="15" hidden="false" customHeight="true" outlineLevel="0" collapsed="false">
      <c r="A56" s="24" t="s">
        <v>76</v>
      </c>
      <c r="B56" s="28" t="n">
        <f aca="false">ROUND(((B49/1000000)*B53)+((B50/1000000)*B54),4)</f>
        <v>0.0675</v>
      </c>
      <c r="C56" s="26" t="s">
        <v>77</v>
      </c>
    </row>
    <row r="57" customFormat="false" ht="15" hidden="false" customHeight="true" outlineLevel="0" collapsed="false">
      <c r="A57" s="24" t="s">
        <v>78</v>
      </c>
      <c r="B57" s="28" t="n">
        <f aca="false">ROUND(B56*0.5,4)</f>
        <v>0.0338</v>
      </c>
      <c r="C57" s="26" t="s">
        <v>79</v>
      </c>
    </row>
    <row r="58" customFormat="false" ht="15" hidden="false" customHeight="true" outlineLevel="0" collapsed="false">
      <c r="A58" s="24" t="s">
        <v>80</v>
      </c>
      <c r="B58" s="28" t="n">
        <f aca="false">ROUND(((B51/1000000)*B53)+((B52/1000000)*B54),4)</f>
        <v>0.013</v>
      </c>
      <c r="C58" s="26" t="s">
        <v>77</v>
      </c>
    </row>
    <row r="59" customFormat="false" ht="15" hidden="false" customHeight="true" outlineLevel="0" collapsed="false">
      <c r="A59" s="24" t="s">
        <v>81</v>
      </c>
      <c r="B59" s="28" t="n">
        <f aca="false">ROUND(B58*0.5,4)</f>
        <v>0.0065</v>
      </c>
      <c r="C59" s="26" t="s">
        <v>79</v>
      </c>
    </row>
    <row r="60" customFormat="false" ht="15" hidden="false" customHeight="true" outlineLevel="0" collapsed="false">
      <c r="A60" s="24" t="s">
        <v>82</v>
      </c>
      <c r="B60" s="28" t="n">
        <f aca="false">ROUND(B56*B55*B2,0)</f>
        <v>4388</v>
      </c>
      <c r="C60" s="26" t="s">
        <v>83</v>
      </c>
    </row>
    <row r="61" customFormat="false" ht="15" hidden="false" customHeight="true" outlineLevel="0" collapsed="false">
      <c r="A61" s="24" t="s">
        <v>84</v>
      </c>
      <c r="B61" s="28" t="n">
        <f aca="false">ROUND(B57*B55*B2,0)</f>
        <v>2197</v>
      </c>
      <c r="C61" s="26" t="s">
        <v>85</v>
      </c>
    </row>
    <row r="62" customFormat="false" ht="15" hidden="false" customHeight="true" outlineLevel="0" collapsed="false">
      <c r="A62" s="24" t="s">
        <v>86</v>
      </c>
      <c r="B62" s="28" t="n">
        <f aca="false">ROUND(B59*B55*0.2*B2,0)</f>
        <v>85</v>
      </c>
      <c r="C62" s="26" t="s">
        <v>87</v>
      </c>
    </row>
    <row r="63" customFormat="false" ht="15" hidden="false" customHeight="true" outlineLevel="0" collapsed="false">
      <c r="A63" s="29" t="s">
        <v>88</v>
      </c>
      <c r="B63" s="30" t="n">
        <f aca="false">B60+B62</f>
        <v>4473</v>
      </c>
      <c r="C63" s="31" t="s">
        <v>89</v>
      </c>
    </row>
    <row r="64" customFormat="false" ht="15" hidden="false" customHeight="true" outlineLevel="0" collapsed="false">
      <c r="A64" s="5"/>
      <c r="B64" s="5"/>
      <c r="C64" s="5"/>
    </row>
    <row r="65" customFormat="false" ht="15" hidden="false" customHeight="true" outlineLevel="0" collapsed="false">
      <c r="A65" s="6" t="s">
        <v>90</v>
      </c>
    </row>
    <row r="66" customFormat="false" ht="15" hidden="false" customHeight="true" outlineLevel="0" collapsed="false">
      <c r="A66" s="7" t="s">
        <v>91</v>
      </c>
      <c r="B66" s="32" t="n">
        <v>30</v>
      </c>
      <c r="C66" s="7" t="s">
        <v>92</v>
      </c>
    </row>
    <row r="67" customFormat="false" ht="15" hidden="false" customHeight="true" outlineLevel="0" collapsed="false">
      <c r="A67" s="28" t="s">
        <v>93</v>
      </c>
      <c r="B67" s="33" t="n">
        <v>80</v>
      </c>
      <c r="C67" s="26" t="s">
        <v>94</v>
      </c>
    </row>
    <row r="68" customFormat="false" ht="15" hidden="false" customHeight="true" outlineLevel="0" collapsed="false">
      <c r="A68" s="28" t="s">
        <v>95</v>
      </c>
      <c r="B68" s="33" t="n">
        <v>120</v>
      </c>
      <c r="C68" s="26" t="s">
        <v>96</v>
      </c>
    </row>
    <row r="69" customFormat="false" ht="15" hidden="false" customHeight="true" outlineLevel="0" collapsed="false">
      <c r="A69" s="30" t="s">
        <v>97</v>
      </c>
      <c r="B69" s="34" t="n">
        <f aca="false">ROUND((B66+B67+B68)*B2,0)</f>
        <v>29900</v>
      </c>
      <c r="C69" s="31" t="s">
        <v>98</v>
      </c>
    </row>
    <row r="70" customFormat="false" ht="15" hidden="false" customHeight="true" outlineLevel="0" collapsed="false">
      <c r="A70" s="29" t="s">
        <v>99</v>
      </c>
      <c r="B70" s="35" t="n">
        <f aca="false">ROUND((B76+B78)*B79+B80,0)</f>
        <v>2294</v>
      </c>
      <c r="C70" s="26" t="s">
        <v>100</v>
      </c>
    </row>
    <row r="71" customFormat="false" ht="15" hidden="false" customHeight="true" outlineLevel="0" collapsed="false">
      <c r="A71" s="24" t="s">
        <v>101</v>
      </c>
      <c r="B71" s="36" t="n">
        <f aca="false">ROUND(B70*B2,0)</f>
        <v>298220</v>
      </c>
      <c r="C71" s="26" t="s">
        <v>102</v>
      </c>
    </row>
    <row r="72" customFormat="false" ht="15" hidden="false" customHeight="true" outlineLevel="0" collapsed="false">
      <c r="A72" s="6" t="s">
        <v>103</v>
      </c>
      <c r="B72" s="37" t="n">
        <f aca="false">ROUND(B71/5000,2)</f>
        <v>59.64</v>
      </c>
      <c r="C72" s="1" t="s">
        <v>104</v>
      </c>
    </row>
    <row r="73" customFormat="false" ht="15" hidden="false" customHeight="true" outlineLevel="0" collapsed="false">
      <c r="A73" s="7"/>
      <c r="B73" s="7"/>
      <c r="C73" s="7"/>
      <c r="D73" s="7"/>
    </row>
    <row r="74" customFormat="false" ht="15" hidden="false" customHeight="true" outlineLevel="0" collapsed="false">
      <c r="A74" s="28" t="s">
        <v>105</v>
      </c>
      <c r="B74" s="38" t="s">
        <v>106</v>
      </c>
      <c r="C74" s="39" t="s">
        <v>107</v>
      </c>
      <c r="D74" s="40"/>
    </row>
    <row r="75" customFormat="false" ht="15" hidden="false" customHeight="true" outlineLevel="0" collapsed="false">
      <c r="A75" s="28" t="s">
        <v>108</v>
      </c>
      <c r="B75" s="38" t="s">
        <v>109</v>
      </c>
      <c r="C75" s="39" t="s">
        <v>110</v>
      </c>
      <c r="D75" s="40"/>
    </row>
    <row r="76" customFormat="false" ht="15" hidden="false" customHeight="true" outlineLevel="0" collapsed="false">
      <c r="A76" s="28" t="s">
        <v>111</v>
      </c>
      <c r="B76" s="41" t="n">
        <v>2.79</v>
      </c>
      <c r="C76" s="39" t="s">
        <v>112</v>
      </c>
      <c r="D76" s="40"/>
    </row>
    <row r="77" customFormat="false" ht="15" hidden="false" customHeight="true" outlineLevel="0" collapsed="false">
      <c r="A77" s="28" t="s">
        <v>113</v>
      </c>
      <c r="B77" s="38" t="s">
        <v>114</v>
      </c>
      <c r="C77" s="39" t="s">
        <v>115</v>
      </c>
      <c r="D77" s="40"/>
    </row>
    <row r="78" customFormat="false" ht="15" hidden="false" customHeight="true" outlineLevel="0" collapsed="false">
      <c r="A78" s="28" t="s">
        <v>116</v>
      </c>
      <c r="B78" s="41" t="n">
        <v>0.39</v>
      </c>
      <c r="C78" s="39" t="s">
        <v>117</v>
      </c>
      <c r="D78" s="40"/>
    </row>
    <row r="79" customFormat="false" ht="15" hidden="false" customHeight="true" outlineLevel="0" collapsed="false">
      <c r="A79" s="1" t="s">
        <v>118</v>
      </c>
      <c r="B79" s="42" t="n">
        <v>720</v>
      </c>
      <c r="C79" s="1" t="s">
        <v>119</v>
      </c>
    </row>
    <row r="80" customFormat="false" ht="15" hidden="false" customHeight="true" outlineLevel="0" collapsed="false">
      <c r="A80" s="1" t="s">
        <v>120</v>
      </c>
      <c r="B80" s="42" t="n">
        <v>4.5</v>
      </c>
      <c r="C80" s="1" t="s">
        <v>121</v>
      </c>
    </row>
    <row r="81" customFormat="false" ht="15" hidden="false" customHeight="true" outlineLevel="0" collapsed="false"/>
    <row r="82" customFormat="false" ht="15" hidden="false" customHeight="true" outlineLevel="0" collapsed="false">
      <c r="A82" s="43"/>
      <c r="B82" s="44"/>
      <c r="C82" s="26"/>
    </row>
    <row r="83" customFormat="false" ht="15" hidden="false" customHeight="true" outlineLevel="0" collapsed="false">
      <c r="A83" s="28"/>
      <c r="B83" s="45"/>
      <c r="C83" s="26"/>
    </row>
    <row r="84" customFormat="false" ht="15" hidden="false" customHeight="true" outlineLevel="0" collapsed="false">
      <c r="A84" s="28"/>
      <c r="B84" s="4"/>
      <c r="C84" s="26"/>
    </row>
    <row r="85" customFormat="false" ht="15" hidden="false" customHeight="true" outlineLevel="0" collapsed="false">
      <c r="A85" s="28"/>
      <c r="B85" s="39"/>
      <c r="C85" s="26"/>
    </row>
    <row r="86" customFormat="false" ht="15" hidden="false" customHeight="true" outlineLevel="0" collapsed="false">
      <c r="A86" s="29"/>
      <c r="B86" s="46"/>
      <c r="C86" s="47"/>
    </row>
    <row r="87" customFormat="false" ht="15" hidden="false" customHeight="true" outlineLevel="0" collapsed="false">
      <c r="A87" s="29"/>
      <c r="B87" s="48"/>
      <c r="C87" s="26"/>
    </row>
  </sheetData>
  <mergeCells count="7">
    <mergeCell ref="A1:C1"/>
    <mergeCell ref="A4:C4"/>
    <mergeCell ref="A12:C12"/>
    <mergeCell ref="A20:C20"/>
    <mergeCell ref="A27:C27"/>
    <mergeCell ref="A36:C36"/>
    <mergeCell ref="A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24" activeCellId="0" sqref="B24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0"/>
    <col collapsed="false" customWidth="true" hidden="false" outlineLevel="0" max="5" min="5" style="1" width="40"/>
  </cols>
  <sheetData>
    <row r="1" customFormat="false" ht="21.75" hidden="false" customHeight="true" outlineLevel="0" collapsed="false">
      <c r="A1" s="2" t="s">
        <v>122</v>
      </c>
      <c r="B1" s="2"/>
      <c r="C1" s="2"/>
      <c r="D1" s="2"/>
      <c r="E1" s="2"/>
    </row>
    <row r="2" customFormat="false" ht="15" hidden="false" customHeight="true" outlineLevel="0" collapsed="false">
      <c r="A2" s="5"/>
      <c r="B2" s="5"/>
      <c r="C2" s="5"/>
      <c r="D2" s="5"/>
      <c r="E2" s="5"/>
    </row>
    <row r="3" customFormat="false" ht="21.75" hidden="false" customHeight="true" outlineLevel="0" collapsed="false">
      <c r="A3" s="49" t="s">
        <v>123</v>
      </c>
      <c r="B3" s="49"/>
      <c r="C3" s="49"/>
      <c r="D3" s="49"/>
      <c r="E3" s="49"/>
    </row>
    <row r="4" customFormat="false" ht="15" hidden="false" customHeight="true" outlineLevel="0" collapsed="false">
      <c r="A4" s="7" t="s">
        <v>124</v>
      </c>
      <c r="B4" s="7" t="s">
        <v>125</v>
      </c>
      <c r="C4" s="7" t="s">
        <v>5</v>
      </c>
      <c r="D4" s="7" t="s">
        <v>126</v>
      </c>
      <c r="E4" s="7" t="s">
        <v>127</v>
      </c>
    </row>
    <row r="5" customFormat="false" ht="21.75" hidden="false" customHeight="true" outlineLevel="0" collapsed="false">
      <c r="A5" s="9" t="s">
        <v>128</v>
      </c>
      <c r="B5" s="50" t="n">
        <f aca="false">Assumptions!B40</f>
        <v>501180</v>
      </c>
      <c r="C5" s="51" t="n">
        <f aca="false">ROUND(B5/Assumptions!B2,0)</f>
        <v>3855</v>
      </c>
      <c r="D5" s="52" t="s">
        <v>129</v>
      </c>
      <c r="E5" s="53" t="s">
        <v>130</v>
      </c>
    </row>
    <row r="6" customFormat="false" ht="15" hidden="false" customHeight="true" outlineLevel="0" collapsed="false">
      <c r="A6" s="12" t="s">
        <v>131</v>
      </c>
      <c r="B6" s="54" t="n">
        <f aca="false">Assumptions!B18*6</f>
        <v>75600</v>
      </c>
      <c r="C6" s="55" t="n">
        <f aca="false">ROUND(B6/Assumptions!B2,0)</f>
        <v>582</v>
      </c>
      <c r="D6" s="56" t="s">
        <v>132</v>
      </c>
      <c r="E6" s="19" t="s">
        <v>133</v>
      </c>
    </row>
    <row r="7" customFormat="false" ht="21.75" hidden="false" customHeight="true" outlineLevel="0" collapsed="false">
      <c r="A7" s="9" t="s">
        <v>134</v>
      </c>
      <c r="B7" s="50" t="n">
        <f aca="false">Assumptions!B25*6</f>
        <v>19500</v>
      </c>
      <c r="C7" s="51" t="n">
        <f aca="false">ROUND(B7/Assumptions!B2,0)</f>
        <v>150</v>
      </c>
      <c r="D7" s="52" t="s">
        <v>132</v>
      </c>
      <c r="E7" s="53" t="s">
        <v>135</v>
      </c>
    </row>
    <row r="8" customFormat="false" ht="21.75" hidden="false" customHeight="true" outlineLevel="0" collapsed="false">
      <c r="A8" s="12" t="s">
        <v>136</v>
      </c>
      <c r="B8" s="54" t="n">
        <f aca="false">Assumptions!B34*6</f>
        <v>0</v>
      </c>
      <c r="C8" s="55" t="n">
        <f aca="false">ROUND(B8/Assumptions!B2,0)</f>
        <v>0</v>
      </c>
      <c r="D8" s="56" t="s">
        <v>132</v>
      </c>
      <c r="E8" s="19" t="s">
        <v>137</v>
      </c>
    </row>
    <row r="9" customFormat="false" ht="15" hidden="false" customHeight="true" outlineLevel="0" collapsed="false">
      <c r="A9" s="16" t="s">
        <v>138</v>
      </c>
      <c r="B9" s="57" t="n">
        <f aca="false">B5+B6+B7+B8</f>
        <v>596280</v>
      </c>
      <c r="C9" s="57" t="n">
        <f aca="false">ROUND(B9/Assumptions!B2,0)</f>
        <v>4587</v>
      </c>
      <c r="D9" s="58" t="s">
        <v>129</v>
      </c>
      <c r="E9" s="16"/>
    </row>
    <row r="10" customFormat="false" ht="32.25" hidden="false" customHeight="true" outlineLevel="0" collapsed="false">
      <c r="A10" s="12" t="s">
        <v>139</v>
      </c>
      <c r="B10" s="55" t="n">
        <f aca="false">B9*0.2</f>
        <v>119256</v>
      </c>
      <c r="C10" s="55" t="n">
        <f aca="false">ROUND(B10/Assumptions!B2,0)</f>
        <v>917</v>
      </c>
      <c r="D10" s="56" t="s">
        <v>129</v>
      </c>
      <c r="E10" s="19" t="s">
        <v>140</v>
      </c>
    </row>
    <row r="11" customFormat="false" ht="21.75" hidden="false" customHeight="true" outlineLevel="0" collapsed="false">
      <c r="A11" s="16" t="s">
        <v>141</v>
      </c>
      <c r="B11" s="57" t="n">
        <f aca="false">B9+B10</f>
        <v>715536</v>
      </c>
      <c r="C11" s="57" t="n">
        <f aca="false">ROUND(B11/Assumptions!B2,0)</f>
        <v>5504</v>
      </c>
      <c r="D11" s="58" t="s">
        <v>129</v>
      </c>
      <c r="E11" s="16" t="s">
        <v>142</v>
      </c>
    </row>
    <row r="12" customFormat="false" ht="15" hidden="false" customHeight="true" outlineLevel="0" collapsed="false">
      <c r="A12" s="5"/>
      <c r="B12" s="5"/>
      <c r="C12" s="5"/>
      <c r="D12" s="5"/>
      <c r="E12" s="5"/>
    </row>
    <row r="13" customFormat="false" ht="15" hidden="false" customHeight="true" outlineLevel="0" collapsed="false">
      <c r="A13" s="5"/>
      <c r="B13" s="5"/>
      <c r="C13" s="5"/>
      <c r="D13" s="5"/>
      <c r="E13" s="5"/>
    </row>
    <row r="14" customFormat="false" ht="15" hidden="false" customHeight="true" outlineLevel="0" collapsed="false">
      <c r="A14" s="5"/>
      <c r="B14" s="5"/>
      <c r="C14" s="5"/>
      <c r="D14" s="5"/>
      <c r="E14" s="5"/>
    </row>
    <row r="15" customFormat="false" ht="15" hidden="false" customHeight="true" outlineLevel="0" collapsed="false">
      <c r="A15" s="5"/>
      <c r="B15" s="5"/>
      <c r="C15" s="5"/>
      <c r="D15" s="5"/>
      <c r="E15" s="5"/>
    </row>
    <row r="16" customFormat="false" ht="21.75" hidden="false" customHeight="true" outlineLevel="0" collapsed="false">
      <c r="A16" s="49" t="s">
        <v>143</v>
      </c>
      <c r="B16" s="49"/>
      <c r="C16" s="49"/>
      <c r="D16" s="49"/>
      <c r="E16" s="49"/>
    </row>
    <row r="17" customFormat="false" ht="15" hidden="false" customHeight="true" outlineLevel="0" collapsed="false">
      <c r="A17" s="7" t="s">
        <v>124</v>
      </c>
      <c r="B17" s="7" t="s">
        <v>125</v>
      </c>
      <c r="C17" s="7" t="s">
        <v>5</v>
      </c>
      <c r="D17" s="7" t="s">
        <v>126</v>
      </c>
      <c r="E17" s="7" t="s">
        <v>127</v>
      </c>
    </row>
    <row r="18" customFormat="false" ht="21.75" hidden="false" customHeight="true" outlineLevel="0" collapsed="false">
      <c r="A18" s="9" t="s">
        <v>128</v>
      </c>
      <c r="B18" s="50" t="n">
        <f aca="false">Assumptions!B40</f>
        <v>501180</v>
      </c>
      <c r="C18" s="51" t="n">
        <f aca="false">ROUND(B18/Assumptions!B2,0)</f>
        <v>3855</v>
      </c>
      <c r="D18" s="52" t="s">
        <v>129</v>
      </c>
      <c r="E18" s="53" t="s">
        <v>130</v>
      </c>
    </row>
    <row r="19" customFormat="false" ht="15" hidden="false" customHeight="true" outlineLevel="0" collapsed="false">
      <c r="A19" s="12" t="s">
        <v>131</v>
      </c>
      <c r="B19" s="54" t="n">
        <f aca="false">Assumptions!B18*12</f>
        <v>151200</v>
      </c>
      <c r="C19" s="55" t="n">
        <f aca="false">ROUND(B19/Assumptions!B2,0)</f>
        <v>1163</v>
      </c>
      <c r="D19" s="56" t="s">
        <v>132</v>
      </c>
      <c r="E19" s="19" t="s">
        <v>144</v>
      </c>
    </row>
    <row r="20" customFormat="false" ht="21.75" hidden="false" customHeight="true" outlineLevel="0" collapsed="false">
      <c r="A20" s="9" t="s">
        <v>134</v>
      </c>
      <c r="B20" s="50" t="n">
        <f aca="false">Assumptions!B25*12</f>
        <v>39000</v>
      </c>
      <c r="C20" s="51" t="n">
        <f aca="false">ROUND(B20/Assumptions!B2,0)</f>
        <v>300</v>
      </c>
      <c r="D20" s="52" t="s">
        <v>132</v>
      </c>
      <c r="E20" s="53" t="s">
        <v>145</v>
      </c>
    </row>
    <row r="21" customFormat="false" ht="21.75" hidden="false" customHeight="true" outlineLevel="0" collapsed="false">
      <c r="A21" s="12" t="s">
        <v>136</v>
      </c>
      <c r="B21" s="54" t="n">
        <f aca="false">Assumptions!B34*12</f>
        <v>0</v>
      </c>
      <c r="C21" s="55" t="n">
        <f aca="false">ROUND(B21/Assumptions!B2,0)</f>
        <v>0</v>
      </c>
      <c r="D21" s="56" t="s">
        <v>132</v>
      </c>
      <c r="E21" s="19" t="s">
        <v>146</v>
      </c>
    </row>
    <row r="22" customFormat="false" ht="15" hidden="false" customHeight="true" outlineLevel="0" collapsed="false">
      <c r="A22" s="28" t="s">
        <v>147</v>
      </c>
      <c r="B22" s="59" t="n">
        <f aca="false">Assumptions!B85*6</f>
        <v>0</v>
      </c>
      <c r="C22" s="60" t="n">
        <f aca="false">ROUND(B22/Assumptions!B2,0)</f>
        <v>0</v>
      </c>
      <c r="D22" s="5" t="s">
        <v>132</v>
      </c>
      <c r="E22" s="26" t="s">
        <v>148</v>
      </c>
    </row>
    <row r="23" customFormat="false" ht="32.25" hidden="false" customHeight="true" outlineLevel="0" collapsed="false">
      <c r="A23" s="16" t="s">
        <v>149</v>
      </c>
      <c r="B23" s="57" t="n">
        <f aca="false">B18+B19+B20+B21+B22</f>
        <v>691380</v>
      </c>
      <c r="C23" s="57" t="n">
        <f aca="false">ROUND(B23/Assumptions!B2,0)</f>
        <v>5318</v>
      </c>
      <c r="D23" s="58" t="s">
        <v>129</v>
      </c>
      <c r="E23" s="16"/>
    </row>
    <row r="24" customFormat="false" ht="21.75" hidden="false" customHeight="true" outlineLevel="0" collapsed="false">
      <c r="A24" s="12" t="s">
        <v>139</v>
      </c>
      <c r="B24" s="55" t="n">
        <f aca="false">B23*0.2</f>
        <v>138276</v>
      </c>
      <c r="C24" s="55" t="n">
        <f aca="false">ROUND(B24/Assumptions!B2,0)</f>
        <v>1064</v>
      </c>
      <c r="D24" s="56" t="s">
        <v>129</v>
      </c>
      <c r="E24" s="19" t="s">
        <v>140</v>
      </c>
    </row>
    <row r="25" customFormat="false" ht="15" hidden="false" customHeight="true" outlineLevel="0" collapsed="false">
      <c r="A25" s="16" t="s">
        <v>150</v>
      </c>
      <c r="B25" s="57" t="n">
        <f aca="false">B23+B24</f>
        <v>829656</v>
      </c>
      <c r="C25" s="57" t="n">
        <f aca="false">ROUND(B25/Assumptions!B2,0)</f>
        <v>6382</v>
      </c>
      <c r="D25" s="58" t="s">
        <v>129</v>
      </c>
      <c r="E25" s="16" t="s">
        <v>142</v>
      </c>
    </row>
    <row r="26" customFormat="false" ht="15" hidden="false" customHeight="true" outlineLevel="0" collapsed="false">
      <c r="A26" s="5"/>
      <c r="B26" s="5"/>
      <c r="C26" s="5"/>
      <c r="D26" s="5"/>
      <c r="E26" s="5"/>
    </row>
    <row r="27" customFormat="false" ht="15" hidden="false" customHeight="true" outlineLevel="0" collapsed="false">
      <c r="A27" s="5"/>
      <c r="B27" s="5"/>
      <c r="C27" s="5"/>
      <c r="D27" s="5"/>
      <c r="E27" s="5"/>
    </row>
    <row r="28" customFormat="false" ht="15" hidden="false" customHeight="true" outlineLevel="0" collapsed="false">
      <c r="A28" s="5"/>
      <c r="B28" s="5"/>
      <c r="C28" s="5"/>
      <c r="D28" s="5"/>
      <c r="E28" s="5"/>
    </row>
    <row r="29" customFormat="false" ht="15" hidden="false" customHeight="true" outlineLevel="0" collapsed="false">
      <c r="A29" s="5"/>
      <c r="B29" s="5"/>
      <c r="C29" s="5"/>
      <c r="D29" s="5"/>
      <c r="E29" s="5"/>
    </row>
    <row r="30" customFormat="false" ht="24" hidden="false" customHeight="true" outlineLevel="0" collapsed="false">
      <c r="A30" s="5"/>
      <c r="B30" s="5"/>
      <c r="C30" s="5"/>
      <c r="D30" s="5"/>
      <c r="E30" s="5"/>
    </row>
    <row r="31" customFormat="false" ht="15" hidden="false" customHeight="true" outlineLevel="0" collapsed="false">
      <c r="A31" s="61" t="s">
        <v>151</v>
      </c>
      <c r="B31" s="62"/>
      <c r="C31" s="62"/>
      <c r="D31" s="62"/>
      <c r="E31" s="62"/>
    </row>
    <row r="32" customFormat="false" ht="23.25" hidden="false" customHeight="true" outlineLevel="0" collapsed="false">
      <c r="A32" s="7" t="s">
        <v>152</v>
      </c>
      <c r="B32" s="7" t="s">
        <v>153</v>
      </c>
      <c r="C32" s="7" t="s">
        <v>154</v>
      </c>
      <c r="D32" s="7" t="s">
        <v>155</v>
      </c>
      <c r="E32" s="7" t="s">
        <v>156</v>
      </c>
    </row>
    <row r="33" customFormat="false" ht="45" hidden="false" customHeight="true" outlineLevel="0" collapsed="false">
      <c r="A33" s="63" t="s">
        <v>157</v>
      </c>
      <c r="B33" s="55" t="n">
        <f aca="false">B11</f>
        <v>715536</v>
      </c>
      <c r="C33" s="55" t="n">
        <f aca="false">ROUND(B11/Assumptions!B2,0)</f>
        <v>5504</v>
      </c>
      <c r="D33" s="63" t="s">
        <v>158</v>
      </c>
      <c r="E33" s="63" t="s">
        <v>159</v>
      </c>
    </row>
    <row r="34" customFormat="false" ht="15" hidden="false" customHeight="true" outlineLevel="0" collapsed="false">
      <c r="A34" s="64" t="s">
        <v>160</v>
      </c>
      <c r="B34" s="65" t="n">
        <f aca="false">B25</f>
        <v>829656</v>
      </c>
      <c r="C34" s="65" t="n">
        <f aca="false">ROUND(B25/Assumptions!B2,0)</f>
        <v>6382</v>
      </c>
      <c r="D34" s="64" t="s">
        <v>161</v>
      </c>
      <c r="E34" s="66" t="s">
        <v>162</v>
      </c>
    </row>
    <row r="35" customFormat="false" ht="15" hidden="false" customHeight="true" outlineLevel="0" collapsed="false">
      <c r="A35" s="5"/>
      <c r="B35" s="5"/>
      <c r="C35" s="5"/>
      <c r="D35" s="5"/>
      <c r="E35" s="5"/>
    </row>
    <row r="36" customFormat="false" ht="15" hidden="false" customHeight="true" outlineLevel="0" collapsed="false">
      <c r="A36" s="62" t="s">
        <v>163</v>
      </c>
      <c r="B36" s="62"/>
      <c r="C36" s="62"/>
      <c r="D36" s="62"/>
      <c r="E36" s="62"/>
    </row>
    <row r="37" customFormat="false" ht="15" hidden="false" customHeight="true" outlineLevel="0" collapsed="false">
      <c r="A37" s="7" t="s">
        <v>152</v>
      </c>
      <c r="B37" s="7" t="s">
        <v>164</v>
      </c>
      <c r="C37" s="7" t="s">
        <v>165</v>
      </c>
      <c r="D37" s="7" t="s">
        <v>127</v>
      </c>
      <c r="E37" s="7"/>
    </row>
    <row r="38" customFormat="false" ht="15" hidden="false" customHeight="true" outlineLevel="0" collapsed="false">
      <c r="A38" s="24" t="s">
        <v>166</v>
      </c>
      <c r="B38" s="67" t="n">
        <f aca="false">ROUND((0.0222*500*130),0)</f>
        <v>1443</v>
      </c>
      <c r="C38" s="67" t="n">
        <f aca="false">ROUND(B38/Assumptions!B2,0)</f>
        <v>11</v>
      </c>
      <c r="D38" s="27" t="s">
        <v>167</v>
      </c>
      <c r="E38" s="5"/>
    </row>
    <row r="39" customFormat="false" ht="15" hidden="false" customHeight="true" outlineLevel="0" collapsed="false">
      <c r="A39" s="24" t="s">
        <v>168</v>
      </c>
      <c r="B39" s="67" t="n">
        <f aca="false">ROUND((0.0222*2000*130),0)</f>
        <v>5772</v>
      </c>
      <c r="C39" s="67" t="n">
        <f aca="false">B38*12</f>
        <v>17316</v>
      </c>
      <c r="D39" s="27" t="s">
        <v>169</v>
      </c>
      <c r="E39" s="5"/>
    </row>
    <row r="40" customFormat="false" ht="15" hidden="false" customHeight="true" outlineLevel="0" collapsed="false">
      <c r="A40" s="24" t="s">
        <v>170</v>
      </c>
      <c r="B40" s="68" t="n">
        <f aca="false">ROUND(Assumptions!B70*Assumptions!B2,0)</f>
        <v>298220</v>
      </c>
      <c r="C40" s="67" t="n">
        <f aca="false">B39*12</f>
        <v>69264</v>
      </c>
      <c r="D40" s="27" t="s">
        <v>171</v>
      </c>
      <c r="E40" s="5"/>
    </row>
    <row r="41" customFormat="false" ht="15" hidden="false" customHeight="true" outlineLevel="0" collapsed="false">
      <c r="A41" s="24" t="s">
        <v>172</v>
      </c>
      <c r="B41" s="67" t="n">
        <f aca="false">ROUND(170*130,0)</f>
        <v>22100</v>
      </c>
      <c r="C41" s="69" t="s">
        <v>129</v>
      </c>
      <c r="D41" s="27" t="s">
        <v>173</v>
      </c>
      <c r="E41" s="5"/>
    </row>
  </sheetData>
  <mergeCells count="4">
    <mergeCell ref="A1:E1"/>
    <mergeCell ref="A3:E3"/>
    <mergeCell ref="A16:E16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9" min="2" style="1" width="20"/>
  </cols>
  <sheetData>
    <row r="1" customFormat="false" ht="21.75" hidden="false" customHeight="true" outlineLevel="0" collapsed="false">
      <c r="A1" s="2" t="s">
        <v>174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70" t="s">
        <v>175</v>
      </c>
      <c r="B2" s="70"/>
      <c r="C2" s="70"/>
      <c r="D2" s="70"/>
      <c r="E2" s="70"/>
      <c r="F2" s="70"/>
      <c r="G2" s="70"/>
      <c r="H2" s="70"/>
      <c r="I2" s="70"/>
    </row>
    <row r="3" customFormat="false" ht="21.75" hidden="false" customHeight="true" outlineLevel="0" collapsed="false">
      <c r="A3" s="7"/>
      <c r="B3" s="7"/>
      <c r="C3" s="7"/>
      <c r="D3" s="7"/>
      <c r="E3" s="7"/>
      <c r="F3" s="7"/>
      <c r="G3" s="7" t="s">
        <v>176</v>
      </c>
      <c r="H3" s="7" t="s">
        <v>177</v>
      </c>
      <c r="I3" s="7" t="s">
        <v>178</v>
      </c>
    </row>
    <row r="4" customFormat="false" ht="24.75" hidden="false" customHeight="true" outlineLevel="0" collapsed="false">
      <c r="A4" s="7" t="s">
        <v>179</v>
      </c>
      <c r="B4" s="7" t="s">
        <v>180</v>
      </c>
      <c r="C4" s="7" t="s">
        <v>181</v>
      </c>
      <c r="D4" s="7" t="s">
        <v>182</v>
      </c>
      <c r="E4" s="7" t="s">
        <v>183</v>
      </c>
      <c r="F4" s="7" t="s">
        <v>184</v>
      </c>
      <c r="G4" s="7" t="n">
        <v>0.0222</v>
      </c>
      <c r="H4" s="7" t="n">
        <v>0.0043</v>
      </c>
      <c r="I4" s="7" t="n">
        <v>0.1154</v>
      </c>
    </row>
    <row r="5" customFormat="false" ht="15" hidden="false" customHeight="true" outlineLevel="0" collapsed="false">
      <c r="A5" s="71" t="n">
        <v>1300</v>
      </c>
      <c r="B5" s="72" t="n">
        <f aca="false">Assumptions!B18</f>
        <v>12600</v>
      </c>
      <c r="C5" s="72" t="n">
        <f aca="false">ROUND((A5/1000)*Assumptions!B22*Assumptions!B2,0)</f>
        <v>845</v>
      </c>
      <c r="D5" s="72" t="n">
        <f aca="false">B5+C5</f>
        <v>13445</v>
      </c>
      <c r="E5" s="73" t="n">
        <f aca="false">ROUNDUP(D5/A5,0)</f>
        <v>11</v>
      </c>
      <c r="F5" s="74" t="n">
        <f aca="false">ROUND(E5/Assumptions!B2,2)</f>
        <v>0.08</v>
      </c>
      <c r="G5" s="75" t="n">
        <v>0.0222</v>
      </c>
      <c r="H5" s="75" t="n">
        <v>0.0043</v>
      </c>
      <c r="I5" s="76" t="n">
        <f aca="false">ROUND(Assumptions!B84/A5,4)</f>
        <v>0</v>
      </c>
    </row>
    <row r="6" customFormat="false" ht="15" hidden="false" customHeight="true" outlineLevel="0" collapsed="false">
      <c r="A6" s="77" t="n">
        <v>2500</v>
      </c>
      <c r="B6" s="78" t="n">
        <f aca="false">Assumptions!B18</f>
        <v>12600</v>
      </c>
      <c r="C6" s="15" t="n">
        <f aca="false">ROUND((A6/1000)*Assumptions!B22*Assumptions!B2,0)</f>
        <v>1625</v>
      </c>
      <c r="D6" s="15" t="n">
        <f aca="false">B6+C6</f>
        <v>14225</v>
      </c>
      <c r="E6" s="15" t="n">
        <f aca="false">ROUNDUP(D6/A6,0)</f>
        <v>6</v>
      </c>
      <c r="F6" s="79" t="n">
        <f aca="false">ROUND(E6/Assumptions!B2,2)</f>
        <v>0.05</v>
      </c>
      <c r="G6" s="80" t="n">
        <v>0.0222</v>
      </c>
      <c r="H6" s="80" t="n">
        <v>0.0043</v>
      </c>
      <c r="I6" s="28" t="n">
        <f aca="false">ROUND(Assumptions!B84/A6,4)</f>
        <v>0</v>
      </c>
    </row>
    <row r="7" customFormat="false" ht="15" hidden="false" customHeight="true" outlineLevel="0" collapsed="false">
      <c r="A7" s="81" t="n">
        <v>5000</v>
      </c>
      <c r="B7" s="82" t="n">
        <f aca="false">Assumptions!B18</f>
        <v>12600</v>
      </c>
      <c r="C7" s="14" t="n">
        <f aca="false">ROUND((A7/1000)*Assumptions!B22*Assumptions!B2,0)</f>
        <v>3250</v>
      </c>
      <c r="D7" s="14" t="n">
        <f aca="false">B7+C7</f>
        <v>15850</v>
      </c>
      <c r="E7" s="14" t="n">
        <f aca="false">ROUNDUP(D7/A7,0)</f>
        <v>4</v>
      </c>
      <c r="F7" s="83" t="n">
        <f aca="false">ROUND(E7/Assumptions!B2,2)</f>
        <v>0.03</v>
      </c>
      <c r="G7" s="80" t="n">
        <v>0.0222</v>
      </c>
      <c r="H7" s="80" t="n">
        <v>0.0043</v>
      </c>
      <c r="I7" s="28" t="n">
        <f aca="false">ROUND(Assumptions!B84/A7,4)</f>
        <v>0</v>
      </c>
    </row>
    <row r="8" customFormat="false" ht="15" hidden="false" customHeight="true" outlineLevel="0" collapsed="false">
      <c r="A8" s="77" t="n">
        <v>10000</v>
      </c>
      <c r="B8" s="78" t="n">
        <f aca="false">Assumptions!B18</f>
        <v>12600</v>
      </c>
      <c r="C8" s="15" t="n">
        <f aca="false">ROUND((A8/1000)*Assumptions!B22*Assumptions!B2,0)</f>
        <v>6500</v>
      </c>
      <c r="D8" s="15" t="n">
        <f aca="false">B8+C8</f>
        <v>19100</v>
      </c>
      <c r="E8" s="15" t="n">
        <f aca="false">ROUNDUP(D8/A8,0)</f>
        <v>2</v>
      </c>
      <c r="F8" s="79" t="n">
        <f aca="false">ROUND(E8/Assumptions!B2,2)</f>
        <v>0.02</v>
      </c>
      <c r="G8" s="80" t="n">
        <v>0.0222</v>
      </c>
      <c r="H8" s="80" t="n">
        <v>0.0043</v>
      </c>
      <c r="I8" s="28" t="n">
        <f aca="false">ROUND(Assumptions!B84/A8,4)</f>
        <v>0</v>
      </c>
    </row>
    <row r="9" customFormat="false" ht="15" hidden="false" customHeight="true" outlineLevel="0" collapsed="false">
      <c r="A9" s="81" t="n">
        <v>25000</v>
      </c>
      <c r="B9" s="82" t="n">
        <f aca="false">Assumptions!B18</f>
        <v>12600</v>
      </c>
      <c r="C9" s="14" t="n">
        <f aca="false">ROUND((A9/1000)*Assumptions!B22*Assumptions!B2,0)</f>
        <v>16250</v>
      </c>
      <c r="D9" s="14" t="n">
        <f aca="false">B9+C9</f>
        <v>28850</v>
      </c>
      <c r="E9" s="14" t="n">
        <f aca="false">ROUNDUP(D9/A9,0)</f>
        <v>2</v>
      </c>
      <c r="F9" s="83" t="n">
        <f aca="false">ROUND(E9/Assumptions!B2,2)</f>
        <v>0.02</v>
      </c>
      <c r="G9" s="80" t="n">
        <v>0.0222</v>
      </c>
      <c r="H9" s="80" t="n">
        <v>0.0043</v>
      </c>
      <c r="I9" s="28" t="n">
        <f aca="false">ROUND(Assumptions!B84/A9,4)</f>
        <v>0</v>
      </c>
    </row>
    <row r="10" customFormat="false" ht="15" hidden="false" customHeight="true" outlineLevel="0" collapsed="false">
      <c r="A10" s="77" t="n">
        <v>50000</v>
      </c>
      <c r="B10" s="78" t="n">
        <f aca="false">Assumptions!B18</f>
        <v>12600</v>
      </c>
      <c r="C10" s="15" t="n">
        <f aca="false">ROUND((A10/1000)*Assumptions!B22*Assumptions!B2,0)</f>
        <v>32500</v>
      </c>
      <c r="D10" s="15" t="n">
        <f aca="false">B10+C10</f>
        <v>45100</v>
      </c>
      <c r="E10" s="15" t="n">
        <f aca="false">ROUNDUP(D10/A10,0)</f>
        <v>1</v>
      </c>
      <c r="F10" s="79" t="n">
        <f aca="false">ROUND(E10/Assumptions!B2,2)</f>
        <v>0.01</v>
      </c>
      <c r="G10" s="80" t="n">
        <v>0.0222</v>
      </c>
      <c r="H10" s="80" t="n">
        <v>0.0043</v>
      </c>
      <c r="I10" s="28" t="n">
        <f aca="false">ROUND(Assumptions!B84/A10,4)</f>
        <v>0</v>
      </c>
    </row>
    <row r="11" customFormat="false" ht="15" hidden="false" customHeight="true" outlineLevel="0" collapsed="false">
      <c r="A11" s="81" t="n">
        <v>75000</v>
      </c>
      <c r="B11" s="82" t="n">
        <f aca="false">Assumptions!B18</f>
        <v>12600</v>
      </c>
      <c r="C11" s="14" t="n">
        <f aca="false">ROUND((A11/1000)*Assumptions!B22*Assumptions!B2,0)</f>
        <v>48750</v>
      </c>
      <c r="D11" s="14" t="n">
        <f aca="false">B11+C11</f>
        <v>61350</v>
      </c>
      <c r="E11" s="14" t="n">
        <f aca="false">ROUNDUP(D11/A11,0)</f>
        <v>1</v>
      </c>
      <c r="F11" s="83" t="n">
        <f aca="false">ROUND(E11/Assumptions!B2,2)</f>
        <v>0.01</v>
      </c>
      <c r="G11" s="80" t="n">
        <v>0.0222</v>
      </c>
      <c r="H11" s="80" t="n">
        <v>0.0043</v>
      </c>
      <c r="I11" s="28" t="n">
        <f aca="false">ROUND(Assumptions!B84/A11,4)</f>
        <v>0</v>
      </c>
    </row>
    <row r="12" customFormat="false" ht="15" hidden="false" customHeight="true" outlineLevel="0" collapsed="false">
      <c r="A12" s="77" t="n">
        <v>100000</v>
      </c>
      <c r="B12" s="78" t="n">
        <f aca="false">Assumptions!B18</f>
        <v>12600</v>
      </c>
      <c r="C12" s="15" t="n">
        <f aca="false">ROUND((A12/1000)*Assumptions!B22*Assumptions!B2,0)</f>
        <v>65000</v>
      </c>
      <c r="D12" s="15" t="n">
        <f aca="false">B12+C12</f>
        <v>77600</v>
      </c>
      <c r="E12" s="15" t="n">
        <f aca="false">ROUNDUP(D12/A12,0)</f>
        <v>1</v>
      </c>
      <c r="F12" s="79" t="n">
        <f aca="false">ROUND(E12/Assumptions!B2,2)</f>
        <v>0.01</v>
      </c>
      <c r="G12" s="5"/>
      <c r="H12" s="5"/>
      <c r="I12" s="28" t="n">
        <f aca="false">ROUND(Assumptions!B84/A12,4)</f>
        <v>0</v>
      </c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27" t="s">
        <v>185</v>
      </c>
      <c r="H13" s="5"/>
      <c r="I13" s="5"/>
    </row>
    <row r="14" customFormat="false" ht="15" hidden="false" customHeight="true" outlineLevel="0" collapsed="false">
      <c r="A14" s="84" t="s">
        <v>186</v>
      </c>
      <c r="B14" s="84"/>
      <c r="C14" s="84"/>
      <c r="D14" s="84"/>
      <c r="E14" s="84"/>
      <c r="F14" s="84"/>
      <c r="G14" s="5"/>
      <c r="H14" s="5"/>
      <c r="I14" s="5"/>
    </row>
  </sheetData>
  <mergeCells count="3">
    <mergeCell ref="A1:I1"/>
    <mergeCell ref="A2:I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34" activeCellId="0" sqref="B34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3"/>
  </cols>
  <sheetData>
    <row r="1" customFormat="false" ht="21.75" hidden="false" customHeight="true" outlineLevel="0" collapsed="false">
      <c r="A1" s="2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7" t="s">
        <v>124</v>
      </c>
      <c r="B2" s="7" t="s">
        <v>188</v>
      </c>
      <c r="C2" s="7" t="s">
        <v>189</v>
      </c>
      <c r="D2" s="7" t="s">
        <v>190</v>
      </c>
      <c r="E2" s="7" t="s">
        <v>191</v>
      </c>
      <c r="F2" s="7" t="s">
        <v>192</v>
      </c>
      <c r="G2" s="7" t="s">
        <v>193</v>
      </c>
      <c r="H2" s="7" t="s">
        <v>194</v>
      </c>
      <c r="I2" s="85" t="s">
        <v>195</v>
      </c>
      <c r="J2" s="85" t="s">
        <v>196</v>
      </c>
      <c r="K2" s="85" t="s">
        <v>197</v>
      </c>
      <c r="L2" s="85" t="s">
        <v>198</v>
      </c>
      <c r="M2" s="85" t="s">
        <v>199</v>
      </c>
    </row>
    <row r="3" customFormat="false" ht="15" hidden="false" customHeight="true" outlineLevel="0" collapsed="false">
      <c r="A3" s="86" t="s">
        <v>200</v>
      </c>
      <c r="B3" s="87" t="n">
        <v>20000</v>
      </c>
      <c r="C3" s="87" t="n">
        <v>0</v>
      </c>
      <c r="D3" s="87" t="n">
        <v>0</v>
      </c>
      <c r="E3" s="87" t="n">
        <v>0</v>
      </c>
      <c r="F3" s="87" t="n">
        <v>0</v>
      </c>
      <c r="G3" s="87" t="n">
        <v>0</v>
      </c>
      <c r="H3" s="87" t="n">
        <v>0</v>
      </c>
      <c r="I3" s="87" t="n">
        <v>0</v>
      </c>
      <c r="J3" s="87" t="n">
        <v>0</v>
      </c>
      <c r="K3" s="87" t="n">
        <v>0</v>
      </c>
      <c r="L3" s="87" t="n">
        <v>0</v>
      </c>
      <c r="M3" s="87" t="n">
        <v>0</v>
      </c>
    </row>
    <row r="4" customFormat="false" ht="15" hidden="false" customHeight="true" outlineLevel="0" collapsed="false">
      <c r="A4" s="88" t="s">
        <v>201</v>
      </c>
      <c r="B4" s="89" t="n">
        <v>300000</v>
      </c>
      <c r="C4" s="89" t="n">
        <v>0</v>
      </c>
      <c r="D4" s="89" t="n">
        <v>0</v>
      </c>
      <c r="E4" s="89" t="n">
        <v>0</v>
      </c>
      <c r="F4" s="89" t="n">
        <v>0</v>
      </c>
      <c r="G4" s="89" t="n">
        <v>0</v>
      </c>
      <c r="H4" s="89" t="n">
        <v>0</v>
      </c>
      <c r="I4" s="89" t="n">
        <v>0</v>
      </c>
      <c r="J4" s="89" t="n">
        <v>0</v>
      </c>
      <c r="K4" s="89" t="n">
        <v>0</v>
      </c>
      <c r="L4" s="89" t="n">
        <v>0</v>
      </c>
      <c r="M4" s="89" t="n">
        <v>0</v>
      </c>
    </row>
    <row r="5" customFormat="false" ht="15" hidden="false" customHeight="true" outlineLevel="0" collapsed="false">
      <c r="A5" s="86" t="s">
        <v>202</v>
      </c>
      <c r="B5" s="87" t="n">
        <v>22230</v>
      </c>
      <c r="C5" s="87" t="n">
        <v>0</v>
      </c>
      <c r="D5" s="87" t="n">
        <v>0</v>
      </c>
      <c r="E5" s="87" t="n">
        <v>0</v>
      </c>
      <c r="F5" s="87" t="n">
        <v>0</v>
      </c>
      <c r="G5" s="87" t="n">
        <v>0</v>
      </c>
      <c r="H5" s="87" t="n">
        <v>0</v>
      </c>
      <c r="I5" s="87" t="n">
        <v>0</v>
      </c>
      <c r="J5" s="87" t="n">
        <v>0</v>
      </c>
      <c r="K5" s="87" t="n">
        <v>0</v>
      </c>
      <c r="L5" s="87" t="n">
        <v>0</v>
      </c>
      <c r="M5" s="87" t="n">
        <v>0</v>
      </c>
    </row>
    <row r="6" customFormat="false" ht="15" hidden="false" customHeight="true" outlineLevel="0" collapsed="false">
      <c r="A6" s="88" t="s">
        <v>203</v>
      </c>
      <c r="B6" s="55" t="n">
        <f aca="false">ROUND(1000*Assumptions!B2,0)</f>
        <v>130000</v>
      </c>
      <c r="C6" s="89" t="n">
        <v>0</v>
      </c>
      <c r="D6" s="89" t="n">
        <v>0</v>
      </c>
      <c r="E6" s="89" t="n">
        <v>0</v>
      </c>
      <c r="F6" s="89" t="n">
        <v>0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0</v>
      </c>
      <c r="L6" s="89" t="n">
        <v>0</v>
      </c>
      <c r="M6" s="89" t="n">
        <v>0</v>
      </c>
    </row>
    <row r="7" customFormat="false" ht="15" hidden="false" customHeight="true" outlineLevel="0" collapsed="false">
      <c r="A7" s="86" t="s">
        <v>204</v>
      </c>
      <c r="B7" s="50" t="n">
        <f aca="false">Assumptions!B31</f>
        <v>25000</v>
      </c>
      <c r="C7" s="50" t="n">
        <f aca="false">Assumptions!B31</f>
        <v>25000</v>
      </c>
      <c r="D7" s="87" t="n">
        <v>0</v>
      </c>
      <c r="E7" s="87" t="n">
        <v>0</v>
      </c>
      <c r="F7" s="87" t="n">
        <v>0</v>
      </c>
      <c r="G7" s="87" t="n">
        <v>0</v>
      </c>
      <c r="H7" s="87" t="n">
        <v>0</v>
      </c>
      <c r="I7" s="87" t="n">
        <v>0</v>
      </c>
      <c r="J7" s="87" t="n">
        <v>0</v>
      </c>
      <c r="K7" s="87" t="n">
        <v>0</v>
      </c>
      <c r="L7" s="87" t="n">
        <v>0</v>
      </c>
      <c r="M7" s="87" t="n">
        <v>0</v>
      </c>
    </row>
    <row r="8" customFormat="false" ht="15" hidden="false" customHeight="true" outlineLevel="0" collapsed="false">
      <c r="A8" s="88" t="s">
        <v>205</v>
      </c>
      <c r="B8" s="55" t="n">
        <f aca="false">ROUND(25*Assumptions!B2,0)</f>
        <v>3250</v>
      </c>
      <c r="C8" s="55" t="n">
        <f aca="false">ROUND(25*Assumptions!B2,0)</f>
        <v>3250</v>
      </c>
      <c r="D8" s="55" t="n">
        <f aca="false">ROUND(25*Assumptions!B2,0)</f>
        <v>3250</v>
      </c>
      <c r="E8" s="55" t="n">
        <f aca="false">ROUND(25*Assumptions!B2,0)</f>
        <v>3250</v>
      </c>
      <c r="F8" s="55" t="n">
        <f aca="false">ROUND(25*Assumptions!B2,0)</f>
        <v>3250</v>
      </c>
      <c r="G8" s="55" t="n">
        <f aca="false">ROUND(25*Assumptions!B2,0)</f>
        <v>3250</v>
      </c>
      <c r="H8" s="55" t="n">
        <f aca="false">ROUND(25*Assumptions!B2,0)</f>
        <v>3250</v>
      </c>
      <c r="I8" s="55" t="n">
        <f aca="false">ROUND(25*Assumptions!B2,0)</f>
        <v>3250</v>
      </c>
      <c r="J8" s="55" t="n">
        <f aca="false">ROUND(25*Assumptions!B2,0)</f>
        <v>3250</v>
      </c>
      <c r="K8" s="55" t="n">
        <f aca="false">ROUND(25*Assumptions!B2,0)</f>
        <v>3250</v>
      </c>
      <c r="L8" s="55" t="n">
        <f aca="false">ROUND(25*Assumptions!B2,0)</f>
        <v>3250</v>
      </c>
      <c r="M8" s="55" t="n">
        <f aca="false">ROUND(25*Assumptions!B2,0)</f>
        <v>3250</v>
      </c>
    </row>
    <row r="9" customFormat="false" ht="15" hidden="false" customHeight="true" outlineLevel="0" collapsed="false">
      <c r="A9" s="86" t="s">
        <v>206</v>
      </c>
      <c r="B9" s="51" t="n">
        <f aca="false">ROUND(25*Assumptions!B2,0)</f>
        <v>3250</v>
      </c>
      <c r="C9" s="51" t="n">
        <f aca="false">ROUND(25*Assumptions!B2,0)</f>
        <v>3250</v>
      </c>
      <c r="D9" s="51" t="n">
        <f aca="false">ROUND(25*Assumptions!B2,0)</f>
        <v>3250</v>
      </c>
      <c r="E9" s="51" t="n">
        <f aca="false">ROUND(25*Assumptions!B2,0)</f>
        <v>3250</v>
      </c>
      <c r="F9" s="51" t="n">
        <f aca="false">ROUND(25*Assumptions!B2,0)</f>
        <v>3250</v>
      </c>
      <c r="G9" s="51" t="n">
        <f aca="false">ROUND(25*Assumptions!B2,0)</f>
        <v>3250</v>
      </c>
      <c r="H9" s="51" t="n">
        <f aca="false">ROUND(25*Assumptions!B2,0)</f>
        <v>3250</v>
      </c>
      <c r="I9" s="51" t="n">
        <f aca="false">ROUND(25*Assumptions!B2,0)</f>
        <v>3250</v>
      </c>
      <c r="J9" s="51" t="n">
        <f aca="false">ROUND(25*Assumptions!B2,0)</f>
        <v>3250</v>
      </c>
      <c r="K9" s="51" t="n">
        <f aca="false">ROUND(25*Assumptions!B2,0)</f>
        <v>3250</v>
      </c>
      <c r="L9" s="51" t="n">
        <f aca="false">ROUND(25*Assumptions!B2,0)</f>
        <v>3250</v>
      </c>
      <c r="M9" s="51" t="n">
        <f aca="false">ROUND(25*Assumptions!B2,0)</f>
        <v>3250</v>
      </c>
    </row>
    <row r="10" customFormat="false" ht="15" hidden="false" customHeight="true" outlineLevel="0" collapsed="false">
      <c r="A10" s="88" t="s">
        <v>207</v>
      </c>
      <c r="B10" s="89" t="n">
        <v>900</v>
      </c>
      <c r="C10" s="89" t="n">
        <v>900</v>
      </c>
      <c r="D10" s="89" t="n">
        <v>900</v>
      </c>
      <c r="E10" s="89" t="n">
        <v>900</v>
      </c>
      <c r="F10" s="89" t="n">
        <v>900</v>
      </c>
      <c r="G10" s="89" t="n">
        <v>900</v>
      </c>
      <c r="H10" s="89" t="n">
        <v>900</v>
      </c>
      <c r="I10" s="89" t="n">
        <v>900</v>
      </c>
      <c r="J10" s="89" t="n">
        <v>900</v>
      </c>
      <c r="K10" s="89" t="n">
        <v>900</v>
      </c>
      <c r="L10" s="89" t="n">
        <v>900</v>
      </c>
      <c r="M10" s="89" t="n">
        <v>900</v>
      </c>
    </row>
    <row r="11" customFormat="false" ht="15" hidden="false" customHeight="true" outlineLevel="0" collapsed="false">
      <c r="A11" s="86" t="s">
        <v>208</v>
      </c>
      <c r="B11" s="51" t="n">
        <f aca="false">ROUND(40*Assumptions!B2,0)</f>
        <v>5200</v>
      </c>
      <c r="C11" s="51" t="n">
        <f aca="false">ROUND(40*Assumptions!B2,0)</f>
        <v>5200</v>
      </c>
      <c r="D11" s="51" t="n">
        <f aca="false">ROUND(40*Assumptions!B2,0)</f>
        <v>5200</v>
      </c>
      <c r="E11" s="51" t="n">
        <f aca="false">ROUND(40*Assumptions!B2,0)</f>
        <v>5200</v>
      </c>
      <c r="F11" s="51" t="n">
        <f aca="false">ROUND(40*Assumptions!B2,0)</f>
        <v>5200</v>
      </c>
      <c r="G11" s="51" t="n">
        <f aca="false">ROUND(40*Assumptions!B2,0)</f>
        <v>5200</v>
      </c>
      <c r="H11" s="51" t="n">
        <f aca="false">ROUND(40*Assumptions!B2,0)</f>
        <v>5200</v>
      </c>
      <c r="I11" s="51" t="n">
        <f aca="false">ROUND(40*Assumptions!B2,0)</f>
        <v>5200</v>
      </c>
      <c r="J11" s="51" t="n">
        <f aca="false">ROUND(40*Assumptions!B2,0)</f>
        <v>5200</v>
      </c>
      <c r="K11" s="51" t="n">
        <f aca="false">ROUND(40*Assumptions!B2,0)</f>
        <v>5200</v>
      </c>
      <c r="L11" s="51" t="n">
        <f aca="false">ROUND(40*Assumptions!B2,0)</f>
        <v>5200</v>
      </c>
      <c r="M11" s="51" t="n">
        <f aca="false">ROUND(40*Assumptions!B2,0)</f>
        <v>5200</v>
      </c>
    </row>
    <row r="12" customFormat="false" ht="15" hidden="false" customHeight="true" outlineLevel="0" collapsed="false">
      <c r="A12" s="88" t="s">
        <v>209</v>
      </c>
      <c r="B12" s="55" t="n">
        <f aca="false">ROUND((Assumptions!B23/1000)*Assumptions!B22*Assumptions!B2,0)</f>
        <v>3250</v>
      </c>
      <c r="C12" s="55" t="n">
        <f aca="false">ROUND((Assumptions!B23/1000)*Assumptions!B22*Assumptions!B2,0)</f>
        <v>3250</v>
      </c>
      <c r="D12" s="55" t="n">
        <f aca="false">ROUND((Assumptions!B23/1000)*Assumptions!B22*Assumptions!B2,0)</f>
        <v>3250</v>
      </c>
      <c r="E12" s="55" t="n">
        <f aca="false">ROUND((Assumptions!B23/1000)*Assumptions!B22*Assumptions!B2,0)</f>
        <v>3250</v>
      </c>
      <c r="F12" s="55" t="n">
        <f aca="false">ROUND((Assumptions!B23/1000)*Assumptions!B22*Assumptions!B2,0)</f>
        <v>3250</v>
      </c>
      <c r="G12" s="55" t="n">
        <f aca="false">ROUND((Assumptions!B23/1000)*Assumptions!B22*Assumptions!B2,0)</f>
        <v>3250</v>
      </c>
      <c r="H12" s="90" t="s">
        <v>210</v>
      </c>
      <c r="I12" s="90" t="s">
        <v>210</v>
      </c>
      <c r="J12" s="90" t="s">
        <v>210</v>
      </c>
      <c r="K12" s="90" t="s">
        <v>210</v>
      </c>
      <c r="L12" s="90" t="s">
        <v>210</v>
      </c>
      <c r="M12" s="90" t="s">
        <v>210</v>
      </c>
    </row>
    <row r="13" customFormat="false" ht="15" hidden="false" customHeight="true" outlineLevel="0" collapsed="false">
      <c r="A13" s="86" t="s">
        <v>211</v>
      </c>
      <c r="B13" s="14" t="s">
        <v>210</v>
      </c>
      <c r="C13" s="14" t="s">
        <v>210</v>
      </c>
      <c r="D13" s="14" t="s">
        <v>210</v>
      </c>
      <c r="E13" s="14" t="s">
        <v>210</v>
      </c>
      <c r="F13" s="14" t="s">
        <v>210</v>
      </c>
      <c r="G13" s="14" t="s">
        <v>210</v>
      </c>
      <c r="H13" s="55" t="n">
        <f aca="false">ROUND(Assumptions!B85,0)</f>
        <v>0</v>
      </c>
      <c r="I13" s="55" t="n">
        <f aca="false">ROUND(Assumptions!B85,0)</f>
        <v>0</v>
      </c>
      <c r="J13" s="55" t="n">
        <f aca="false">ROUND(Assumptions!B85,0)</f>
        <v>0</v>
      </c>
      <c r="K13" s="55" t="n">
        <f aca="false">ROUND(Assumptions!B85,0)</f>
        <v>0</v>
      </c>
      <c r="L13" s="55" t="n">
        <f aca="false">ROUND(Assumptions!B85,0)</f>
        <v>0</v>
      </c>
      <c r="M13" s="55" t="n">
        <f aca="false">ROUND(Assumptions!B85,0)</f>
        <v>0</v>
      </c>
    </row>
    <row r="14" customFormat="false" ht="15" hidden="false" customHeight="true" outlineLevel="0" collapsed="false">
      <c r="A14" s="86" t="s">
        <v>212</v>
      </c>
      <c r="B14" s="50" t="n">
        <f aca="false">Assumptions!B29</f>
        <v>0</v>
      </c>
      <c r="C14" s="50" t="n">
        <f aca="false">Assumptions!B29</f>
        <v>0</v>
      </c>
      <c r="D14" s="50" t="n">
        <f aca="false">Assumptions!B29</f>
        <v>0</v>
      </c>
      <c r="E14" s="50" t="n">
        <f aca="false">Assumptions!B29</f>
        <v>0</v>
      </c>
      <c r="F14" s="50" t="n">
        <f aca="false">Assumptions!B29</f>
        <v>0</v>
      </c>
      <c r="G14" s="50" t="n">
        <f aca="false">Assumptions!B29</f>
        <v>0</v>
      </c>
      <c r="H14" s="50" t="n">
        <f aca="false">Assumptions!B29</f>
        <v>0</v>
      </c>
      <c r="I14" s="50" t="n">
        <f aca="false">Assumptions!B29</f>
        <v>0</v>
      </c>
      <c r="J14" s="50" t="n">
        <f aca="false">Assumptions!B29</f>
        <v>0</v>
      </c>
      <c r="K14" s="50" t="n">
        <f aca="false">Assumptions!B29</f>
        <v>0</v>
      </c>
      <c r="L14" s="50" t="n">
        <f aca="false">Assumptions!B29</f>
        <v>0</v>
      </c>
      <c r="M14" s="50" t="n">
        <f aca="false">Assumptions!B29</f>
        <v>0</v>
      </c>
    </row>
    <row r="15" customFormat="false" ht="15" hidden="false" customHeight="true" outlineLevel="0" collapsed="false">
      <c r="A15" s="88" t="s">
        <v>213</v>
      </c>
      <c r="B15" s="54" t="n">
        <f aca="false">Assumptions!B30</f>
        <v>0</v>
      </c>
      <c r="C15" s="54" t="n">
        <f aca="false">Assumptions!B30</f>
        <v>0</v>
      </c>
      <c r="D15" s="54" t="n">
        <f aca="false">Assumptions!B30</f>
        <v>0</v>
      </c>
      <c r="E15" s="54" t="n">
        <f aca="false">Assumptions!B30</f>
        <v>0</v>
      </c>
      <c r="F15" s="54" t="n">
        <f aca="false">Assumptions!B30</f>
        <v>0</v>
      </c>
      <c r="G15" s="54" t="n">
        <f aca="false">Assumptions!B30</f>
        <v>0</v>
      </c>
      <c r="H15" s="54" t="n">
        <f aca="false">Assumptions!B30</f>
        <v>0</v>
      </c>
      <c r="I15" s="54" t="n">
        <f aca="false">Assumptions!B30</f>
        <v>0</v>
      </c>
      <c r="J15" s="54" t="n">
        <f aca="false">Assumptions!B30</f>
        <v>0</v>
      </c>
      <c r="K15" s="54" t="n">
        <f aca="false">Assumptions!B30</f>
        <v>0</v>
      </c>
      <c r="L15" s="54" t="n">
        <f aca="false">Assumptions!B30</f>
        <v>0</v>
      </c>
      <c r="M15" s="54" t="n">
        <f aca="false">Assumptions!B30</f>
        <v>0</v>
      </c>
    </row>
    <row r="16" customFormat="false" ht="21.75" hidden="false" customHeight="true" outlineLevel="0" collapsed="false">
      <c r="A16" s="16" t="s">
        <v>214</v>
      </c>
      <c r="B16" s="57" t="n">
        <f aca="false">SUM(B3:B15)</f>
        <v>513080</v>
      </c>
      <c r="C16" s="57" t="n">
        <f aca="false">SUM(C3:C15)</f>
        <v>40850</v>
      </c>
      <c r="D16" s="57" t="n">
        <f aca="false">SUM(D3:D15)</f>
        <v>15850</v>
      </c>
      <c r="E16" s="57" t="n">
        <f aca="false">SUM(E3:E15)</f>
        <v>15850</v>
      </c>
      <c r="F16" s="57" t="n">
        <f aca="false">SUM(F3:F15)</f>
        <v>15850</v>
      </c>
      <c r="G16" s="57" t="n">
        <f aca="false">SUM(G3:G15)</f>
        <v>15850</v>
      </c>
      <c r="H16" s="57" t="n">
        <f aca="false">SUM(H3:H15)</f>
        <v>12600</v>
      </c>
      <c r="I16" s="57" t="n">
        <f aca="false">SUM(I3:I15)</f>
        <v>12600</v>
      </c>
      <c r="J16" s="57" t="n">
        <f aca="false">SUM(J3:J15)</f>
        <v>12600</v>
      </c>
      <c r="K16" s="57" t="n">
        <f aca="false">SUM(K3:K15)</f>
        <v>12600</v>
      </c>
      <c r="L16" s="57" t="n">
        <f aca="false">SUM(L3:L15)</f>
        <v>12600</v>
      </c>
      <c r="M16" s="57" t="n">
        <f aca="false">SUM(M3:M15)</f>
        <v>12600</v>
      </c>
    </row>
    <row r="17" customFormat="false" ht="15" hidden="false" customHeight="true" outlineLevel="0" collapsed="false">
      <c r="A17" s="16" t="s">
        <v>215</v>
      </c>
      <c r="B17" s="57" t="n">
        <f aca="false">B16</f>
        <v>513080</v>
      </c>
      <c r="C17" s="57" t="n">
        <f aca="false">B17+C16</f>
        <v>553930</v>
      </c>
      <c r="D17" s="57" t="n">
        <f aca="false">C17+D16</f>
        <v>569780</v>
      </c>
      <c r="E17" s="57" t="n">
        <f aca="false">D17+E16</f>
        <v>585630</v>
      </c>
      <c r="F17" s="57" t="n">
        <f aca="false">E17+F16</f>
        <v>601480</v>
      </c>
      <c r="G17" s="57" t="n">
        <f aca="false">F17+G16</f>
        <v>617330</v>
      </c>
      <c r="H17" s="57" t="n">
        <f aca="false">G17+H16</f>
        <v>629930</v>
      </c>
      <c r="I17" s="57" t="n">
        <f aca="false">H17+I16</f>
        <v>642530</v>
      </c>
      <c r="J17" s="57" t="n">
        <f aca="false">I17+J16</f>
        <v>655130</v>
      </c>
      <c r="K17" s="57" t="n">
        <f aca="false">J17+K16</f>
        <v>667730</v>
      </c>
      <c r="L17" s="57" t="n">
        <f aca="false">K17+L16</f>
        <v>680330</v>
      </c>
      <c r="M17" s="57" t="n">
        <f aca="false">L17+M16</f>
        <v>692930</v>
      </c>
    </row>
    <row r="18" customFormat="false" ht="15" hidden="false" customHeight="true" outlineLevel="0" collapsed="false">
      <c r="A18" s="91" t="s">
        <v>216</v>
      </c>
      <c r="I18" s="92" t="s">
        <v>217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8"/>
    <col collapsed="false" customWidth="true" hidden="false" outlineLevel="0" max="6" min="5" style="1" width="22"/>
  </cols>
  <sheetData>
    <row r="1" customFormat="false" ht="21.75" hidden="false" customHeight="true" outlineLevel="0" collapsed="false">
      <c r="A1" s="2" t="s">
        <v>218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/>
      <c r="B2" s="5"/>
      <c r="C2" s="5"/>
      <c r="D2" s="5"/>
      <c r="E2" s="5"/>
      <c r="F2" s="5"/>
    </row>
    <row r="3" customFormat="false" ht="15" hidden="false" customHeight="true" outlineLevel="0" collapsed="false">
      <c r="A3" s="62" t="s">
        <v>219</v>
      </c>
      <c r="B3" s="5"/>
      <c r="C3" s="5"/>
      <c r="D3" s="5"/>
      <c r="E3" s="5"/>
      <c r="F3" s="5"/>
    </row>
    <row r="4" customFormat="false" ht="15" hidden="false" customHeight="true" outlineLevel="0" collapsed="false">
      <c r="A4" s="7" t="s">
        <v>220</v>
      </c>
      <c r="B4" s="7" t="s">
        <v>221</v>
      </c>
      <c r="C4" s="7" t="s">
        <v>222</v>
      </c>
      <c r="D4" s="7" t="s">
        <v>223</v>
      </c>
      <c r="E4" s="7" t="s">
        <v>127</v>
      </c>
      <c r="F4" s="7"/>
    </row>
    <row r="5" customFormat="false" ht="15" hidden="false" customHeight="true" outlineLevel="0" collapsed="false">
      <c r="A5" s="24" t="s">
        <v>224</v>
      </c>
      <c r="B5" s="24" t="s">
        <v>225</v>
      </c>
      <c r="C5" s="24" t="s">
        <v>226</v>
      </c>
      <c r="D5" s="24" t="s">
        <v>227</v>
      </c>
      <c r="E5" s="24" t="s">
        <v>228</v>
      </c>
      <c r="F5" s="5"/>
    </row>
    <row r="6" customFormat="false" ht="15" hidden="false" customHeight="true" outlineLevel="0" collapsed="false">
      <c r="A6" s="24" t="s">
        <v>229</v>
      </c>
      <c r="B6" s="24" t="s">
        <v>230</v>
      </c>
      <c r="C6" s="24" t="s">
        <v>231</v>
      </c>
      <c r="D6" s="24" t="s">
        <v>232</v>
      </c>
      <c r="E6" s="24" t="s">
        <v>233</v>
      </c>
      <c r="F6" s="5"/>
    </row>
    <row r="7" customFormat="false" ht="15" hidden="false" customHeight="true" outlineLevel="0" collapsed="false">
      <c r="A7" s="24" t="s">
        <v>234</v>
      </c>
      <c r="B7" s="24" t="s">
        <v>235</v>
      </c>
      <c r="C7" s="24" t="s">
        <v>236</v>
      </c>
      <c r="D7" s="24" t="s">
        <v>237</v>
      </c>
      <c r="E7" s="24" t="s">
        <v>238</v>
      </c>
      <c r="F7" s="5"/>
    </row>
    <row r="8" customFormat="false" ht="15" hidden="false" customHeight="true" outlineLevel="0" collapsed="false">
      <c r="A8" s="24" t="s">
        <v>239</v>
      </c>
      <c r="B8" s="24" t="s">
        <v>240</v>
      </c>
      <c r="C8" s="24" t="s">
        <v>241</v>
      </c>
      <c r="D8" s="24" t="s">
        <v>242</v>
      </c>
      <c r="E8" s="24" t="s">
        <v>243</v>
      </c>
      <c r="F8" s="5"/>
    </row>
    <row r="9" customFormat="false" ht="15" hidden="false" customHeight="true" outlineLevel="0" collapsed="false">
      <c r="A9" s="24" t="s">
        <v>244</v>
      </c>
      <c r="B9" s="24" t="s">
        <v>245</v>
      </c>
      <c r="C9" s="24" t="s">
        <v>246</v>
      </c>
      <c r="D9" s="24" t="s">
        <v>247</v>
      </c>
      <c r="E9" s="24" t="s">
        <v>248</v>
      </c>
      <c r="F9" s="5"/>
    </row>
    <row r="10" customFormat="false" ht="15" hidden="false" customHeight="true" outlineLevel="0" collapsed="false">
      <c r="A10" s="24" t="s">
        <v>249</v>
      </c>
      <c r="B10" s="24" t="s">
        <v>245</v>
      </c>
      <c r="C10" s="24" t="s">
        <v>246</v>
      </c>
      <c r="D10" s="24" t="s">
        <v>247</v>
      </c>
      <c r="E10" s="24" t="s">
        <v>250</v>
      </c>
      <c r="F10" s="5"/>
    </row>
    <row r="11" customFormat="false" ht="15" hidden="false" customHeight="true" outlineLevel="0" collapsed="false">
      <c r="A11" s="5"/>
      <c r="B11" s="5"/>
      <c r="C11" s="5"/>
      <c r="D11" s="5"/>
      <c r="E11" s="5"/>
      <c r="F11" s="5"/>
    </row>
    <row r="12" customFormat="false" ht="15" hidden="false" customHeight="true" outlineLevel="0" collapsed="false">
      <c r="A12" s="62" t="s">
        <v>251</v>
      </c>
      <c r="B12" s="5"/>
      <c r="C12" s="5"/>
      <c r="D12" s="5"/>
      <c r="E12" s="5"/>
      <c r="F12" s="5"/>
    </row>
    <row r="13" customFormat="false" ht="15" hidden="false" customHeight="true" outlineLevel="0" collapsed="false">
      <c r="A13" s="7" t="s">
        <v>252</v>
      </c>
      <c r="B13" s="7" t="s">
        <v>253</v>
      </c>
      <c r="C13" s="7" t="s">
        <v>254</v>
      </c>
      <c r="D13" s="7" t="s">
        <v>255</v>
      </c>
      <c r="E13" s="7"/>
      <c r="F13" s="7"/>
    </row>
    <row r="14" customFormat="false" ht="15" hidden="false" customHeight="true" outlineLevel="0" collapsed="false">
      <c r="A14" s="24" t="s">
        <v>256</v>
      </c>
      <c r="B14" s="24" t="s">
        <v>257</v>
      </c>
      <c r="C14" s="24" t="s">
        <v>258</v>
      </c>
      <c r="D14" s="24" t="s">
        <v>259</v>
      </c>
      <c r="E14" s="5"/>
      <c r="F14" s="5"/>
    </row>
    <row r="15" customFormat="false" ht="15" hidden="false" customHeight="true" outlineLevel="0" collapsed="false">
      <c r="A15" s="24" t="s">
        <v>260</v>
      </c>
      <c r="B15" s="24" t="s">
        <v>257</v>
      </c>
      <c r="C15" s="24" t="s">
        <v>261</v>
      </c>
      <c r="D15" s="24" t="s">
        <v>262</v>
      </c>
      <c r="E15" s="5"/>
      <c r="F15" s="5"/>
    </row>
    <row r="16" customFormat="false" ht="15" hidden="false" customHeight="true" outlineLevel="0" collapsed="false">
      <c r="A16" s="24" t="s">
        <v>263</v>
      </c>
      <c r="B16" s="24" t="s">
        <v>257</v>
      </c>
      <c r="C16" s="24" t="s">
        <v>264</v>
      </c>
      <c r="D16" s="24" t="s">
        <v>265</v>
      </c>
      <c r="E16" s="5"/>
      <c r="F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</row>
    <row r="18" customFormat="false" ht="15" hidden="false" customHeight="true" outlineLevel="0" collapsed="false">
      <c r="A18" s="62" t="s">
        <v>266</v>
      </c>
      <c r="B18" s="5"/>
      <c r="C18" s="5"/>
      <c r="D18" s="5"/>
      <c r="E18" s="5"/>
      <c r="F18" s="5"/>
    </row>
    <row r="19" customFormat="false" ht="15" hidden="false" customHeight="true" outlineLevel="0" collapsed="false">
      <c r="A19" s="7" t="s">
        <v>221</v>
      </c>
      <c r="B19" s="7" t="s">
        <v>220</v>
      </c>
      <c r="C19" s="7" t="s">
        <v>267</v>
      </c>
      <c r="D19" s="7" t="s">
        <v>268</v>
      </c>
      <c r="E19" s="7" t="s">
        <v>269</v>
      </c>
      <c r="F19" s="7" t="s">
        <v>270</v>
      </c>
    </row>
    <row r="20" customFormat="false" ht="15" hidden="false" customHeight="true" outlineLevel="0" collapsed="false">
      <c r="A20" s="24" t="s">
        <v>271</v>
      </c>
      <c r="B20" s="24" t="s">
        <v>272</v>
      </c>
      <c r="C20" s="24" t="s">
        <v>273</v>
      </c>
      <c r="D20" s="28" t="n">
        <f aca="false">ROUND(30*Assumptions!B2,0)</f>
        <v>3900</v>
      </c>
      <c r="E20" s="68" t="n">
        <f aca="false">ROUND(Assumptions!B78*Assumptions!B79*0.5*Assumptions!B2,0)</f>
        <v>18252</v>
      </c>
      <c r="F20" s="5" t="s">
        <v>274</v>
      </c>
    </row>
    <row r="21" customFormat="false" ht="15" hidden="false" customHeight="true" outlineLevel="0" collapsed="false">
      <c r="A21" s="24" t="s">
        <v>275</v>
      </c>
      <c r="B21" s="24" t="s">
        <v>276</v>
      </c>
      <c r="C21" s="24" t="s">
        <v>277</v>
      </c>
      <c r="D21" s="28" t="n">
        <f aca="false">ROUND(80*Assumptions!B2,0)</f>
        <v>10400</v>
      </c>
      <c r="E21" s="68" t="n">
        <f aca="false">ROUND(Assumptions!B78*Assumptions!B79*0.5*Assumptions!B2,0)</f>
        <v>18252</v>
      </c>
      <c r="F21" s="5" t="s">
        <v>274</v>
      </c>
    </row>
    <row r="22" customFormat="false" ht="15" hidden="false" customHeight="true" outlineLevel="0" collapsed="false">
      <c r="A22" s="24" t="s">
        <v>278</v>
      </c>
      <c r="B22" s="24" t="s">
        <v>279</v>
      </c>
      <c r="C22" s="24" t="s">
        <v>280</v>
      </c>
      <c r="D22" s="28" t="n">
        <f aca="false">ROUND(120*Assumptions!B2,0)</f>
        <v>15600</v>
      </c>
      <c r="E22" s="68" t="n">
        <f aca="false">ROUND(Assumptions!B76*Assumptions!B79*Assumptions!B2,0)</f>
        <v>261144</v>
      </c>
      <c r="F22" s="5" t="s">
        <v>281</v>
      </c>
    </row>
    <row r="23" customFormat="false" ht="15" hidden="false" customHeight="true" outlineLevel="0" collapsed="false">
      <c r="A23" s="62" t="s">
        <v>282</v>
      </c>
      <c r="B23" s="93" t="s">
        <v>283</v>
      </c>
      <c r="C23" s="93" t="s">
        <v>284</v>
      </c>
      <c r="D23" s="93" t="n">
        <f aca="false">ROUND(170*Assumptions!B2,0)</f>
        <v>22100</v>
      </c>
      <c r="E23" s="68" t="n">
        <f aca="false">E20+E21+E22</f>
        <v>297648</v>
      </c>
      <c r="F23" s="5" t="s">
        <v>285</v>
      </c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</row>
    <row r="25" customFormat="false" ht="15" hidden="false" customHeight="true" outlineLevel="0" collapsed="false">
      <c r="A25" s="62" t="s">
        <v>286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7" t="s">
        <v>287</v>
      </c>
      <c r="B26" s="7" t="s">
        <v>288</v>
      </c>
      <c r="C26" s="7" t="s">
        <v>289</v>
      </c>
      <c r="D26" s="7" t="s">
        <v>290</v>
      </c>
      <c r="E26" s="7" t="s">
        <v>291</v>
      </c>
      <c r="F26" s="7" t="s">
        <v>292</v>
      </c>
    </row>
    <row r="27" customFormat="false" ht="15" hidden="false" customHeight="true" outlineLevel="0" collapsed="false">
      <c r="A27" s="80" t="n">
        <v>500</v>
      </c>
      <c r="B27" s="28" t="n">
        <f aca="false">ROUND(500*0.0222*130,0)</f>
        <v>1443</v>
      </c>
      <c r="C27" s="28" t="n">
        <f aca="false">ROUND(500*0.0042*0.2*130,0)</f>
        <v>55</v>
      </c>
      <c r="D27" s="28" t="n">
        <f aca="false">B27+C27</f>
        <v>1498</v>
      </c>
      <c r="E27" s="68" t="n">
        <f aca="false">ROUND(Assumptions!B70*Assumptions!B2,0)</f>
        <v>298220</v>
      </c>
      <c r="F27" s="28" t="n">
        <f aca="false">IF(D27&gt;E27,D27-E27,0)</f>
        <v>0</v>
      </c>
    </row>
    <row r="28" customFormat="false" ht="15" hidden="false" customHeight="true" outlineLevel="0" collapsed="false">
      <c r="A28" s="80" t="n">
        <v>1000</v>
      </c>
      <c r="B28" s="28" t="n">
        <f aca="false">ROUND(1000*0.0222*130,0)</f>
        <v>2886</v>
      </c>
      <c r="C28" s="28" t="n">
        <f aca="false">ROUND(1000*0.0042*0.2*130,0)</f>
        <v>109</v>
      </c>
      <c r="D28" s="28" t="n">
        <f aca="false">B28+C28</f>
        <v>2995</v>
      </c>
      <c r="E28" s="68" t="n">
        <f aca="false">ROUND(Assumptions!B70*Assumptions!B2,0)</f>
        <v>298220</v>
      </c>
      <c r="F28" s="28" t="n">
        <f aca="false">IF(D28&gt;E28,D28-E28,0)</f>
        <v>0</v>
      </c>
    </row>
    <row r="29" customFormat="false" ht="15" hidden="false" customHeight="true" outlineLevel="0" collapsed="false">
      <c r="A29" s="80" t="n">
        <v>2000</v>
      </c>
      <c r="B29" s="28" t="n">
        <f aca="false">ROUND(2000*0.0222*130,0)</f>
        <v>5772</v>
      </c>
      <c r="C29" s="28" t="n">
        <f aca="false">ROUND(2000*0.0042*0.2*130,0)</f>
        <v>218</v>
      </c>
      <c r="D29" s="28" t="n">
        <f aca="false">B29+C29</f>
        <v>5990</v>
      </c>
      <c r="E29" s="68" t="n">
        <f aca="false">ROUND(Assumptions!B70*Assumptions!B2,0)</f>
        <v>298220</v>
      </c>
      <c r="F29" s="28" t="n">
        <f aca="false">IF(D29&gt;E29,D29-E29,0)</f>
        <v>0</v>
      </c>
    </row>
    <row r="30" customFormat="false" ht="15" hidden="false" customHeight="true" outlineLevel="0" collapsed="false">
      <c r="A30" s="80" t="n">
        <v>3500</v>
      </c>
      <c r="B30" s="28" t="n">
        <f aca="false">ROUND(3500*0.0222*130,0)</f>
        <v>10101</v>
      </c>
      <c r="C30" s="28" t="n">
        <f aca="false">ROUND(3500*0.0042*0.2*130,0)</f>
        <v>382</v>
      </c>
      <c r="D30" s="28" t="n">
        <f aca="false">B30+C30</f>
        <v>10483</v>
      </c>
      <c r="E30" s="68" t="n">
        <f aca="false">ROUND(Assumptions!B70*Assumptions!B2,0)</f>
        <v>298220</v>
      </c>
      <c r="F30" s="28" t="n">
        <f aca="false">IF(D30&gt;E30,D30-E30,0)</f>
        <v>0</v>
      </c>
    </row>
    <row r="31" customFormat="false" ht="15" hidden="false" customHeight="true" outlineLevel="0" collapsed="false">
      <c r="A31" s="80" t="n">
        <v>5000</v>
      </c>
      <c r="B31" s="28" t="n">
        <f aca="false">ROUND(5000*0.0222*130,0)</f>
        <v>14430</v>
      </c>
      <c r="C31" s="28" t="n">
        <f aca="false">ROUND(5000*0.0042*0.2*130,0)</f>
        <v>546</v>
      </c>
      <c r="D31" s="28" t="n">
        <f aca="false">B31+C31</f>
        <v>14976</v>
      </c>
      <c r="E31" s="68" t="n">
        <f aca="false">ROUND(Assumptions!B70*Assumptions!B2,0)</f>
        <v>298220</v>
      </c>
      <c r="F31" s="28" t="n">
        <f aca="false">IF(D31&gt;E31,D31-E31,0)</f>
        <v>0</v>
      </c>
    </row>
    <row r="32" customFormat="false" ht="15" hidden="false" customHeight="true" outlineLevel="0" collapsed="false">
      <c r="A32" s="80" t="n">
        <v>10000</v>
      </c>
      <c r="B32" s="28" t="n">
        <f aca="false">ROUND(10000*0.0222*130,0)</f>
        <v>28860</v>
      </c>
      <c r="C32" s="28" t="n">
        <f aca="false">ROUND(10000*0.0042*0.2*130,0)</f>
        <v>1092</v>
      </c>
      <c r="D32" s="28" t="n">
        <f aca="false">B32+C32</f>
        <v>29952</v>
      </c>
      <c r="E32" s="68" t="n">
        <f aca="false">ROUND(Assumptions!B70*Assumptions!B2,0)</f>
        <v>298220</v>
      </c>
      <c r="F32" s="28" t="n">
        <f aca="false">IF(D32&gt;E32,D32-E32,0)</f>
        <v>0</v>
      </c>
    </row>
    <row r="33" customFormat="false" ht="15" hidden="false" customHeight="true" outlineLevel="0" collapsed="false">
      <c r="A33" s="80" t="n">
        <v>20000</v>
      </c>
      <c r="B33" s="28" t="n">
        <f aca="false">ROUND(20000*0.0222*130,0)</f>
        <v>57720</v>
      </c>
      <c r="C33" s="28" t="n">
        <f aca="false">ROUND(20000*0.0042*0.2*130,0)</f>
        <v>2184</v>
      </c>
      <c r="D33" s="28" t="n">
        <f aca="false">B33+C33</f>
        <v>59904</v>
      </c>
      <c r="E33" s="68" t="n">
        <f aca="false">ROUND(Assumptions!B70*2*Assumptions!B2,0)</f>
        <v>596440</v>
      </c>
      <c r="F33" s="28" t="n">
        <f aca="false">IF(D33&gt;E33,D33-E33,0)</f>
        <v>0</v>
      </c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</row>
    <row r="35" customFormat="false" ht="15" hidden="false" customHeight="true" outlineLevel="0" collapsed="false">
      <c r="A35" s="94" t="s">
        <v>293</v>
      </c>
      <c r="B35" s="5"/>
      <c r="C35" s="5"/>
      <c r="D35" s="5"/>
      <c r="E35" s="5"/>
      <c r="F35" s="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5" min="3" style="1" width="18"/>
    <col collapsed="false" customWidth="true" hidden="false" outlineLevel="0" max="6" min="6" style="1" width="42"/>
  </cols>
  <sheetData>
    <row r="1" customFormat="false" ht="21.75" hidden="false" customHeight="true" outlineLevel="0" collapsed="false">
      <c r="A1" s="2" t="s">
        <v>294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26" t="s">
        <v>295</v>
      </c>
      <c r="B2" s="26"/>
      <c r="C2" s="26"/>
      <c r="D2" s="26"/>
      <c r="E2" s="26"/>
      <c r="F2" s="26"/>
    </row>
    <row r="3" customFormat="false" ht="30" hidden="false" customHeight="true" outlineLevel="0" collapsed="false">
      <c r="A3" s="7" t="s">
        <v>296</v>
      </c>
      <c r="B3" s="7" t="s">
        <v>297</v>
      </c>
      <c r="C3" s="7" t="s">
        <v>298</v>
      </c>
      <c r="D3" s="7" t="s">
        <v>299</v>
      </c>
      <c r="E3" s="7" t="s">
        <v>300</v>
      </c>
      <c r="F3" s="7" t="s">
        <v>301</v>
      </c>
    </row>
    <row r="4" customFormat="false" ht="33.75" hidden="false" customHeight="true" outlineLevel="0" collapsed="false">
      <c r="A4" s="95" t="s">
        <v>302</v>
      </c>
      <c r="B4" s="96" t="s">
        <v>303</v>
      </c>
      <c r="C4" s="97" t="s">
        <v>304</v>
      </c>
      <c r="D4" s="97" t="s">
        <v>305</v>
      </c>
      <c r="E4" s="98" t="s">
        <v>306</v>
      </c>
      <c r="F4" s="99" t="s">
        <v>307</v>
      </c>
    </row>
    <row r="5" customFormat="false" ht="33.75" hidden="false" customHeight="true" outlineLevel="0" collapsed="false">
      <c r="A5" s="95" t="s">
        <v>308</v>
      </c>
      <c r="B5" s="96" t="s">
        <v>309</v>
      </c>
      <c r="C5" s="97" t="s">
        <v>310</v>
      </c>
      <c r="D5" s="97" t="s">
        <v>311</v>
      </c>
      <c r="E5" s="98" t="s">
        <v>312</v>
      </c>
      <c r="F5" s="99" t="s">
        <v>313</v>
      </c>
    </row>
    <row r="6" customFormat="false" ht="33.75" hidden="false" customHeight="true" outlineLevel="0" collapsed="false">
      <c r="A6" s="95" t="s">
        <v>314</v>
      </c>
      <c r="B6" s="96" t="s">
        <v>315</v>
      </c>
      <c r="C6" s="97" t="s">
        <v>316</v>
      </c>
      <c r="D6" s="97" t="s">
        <v>317</v>
      </c>
      <c r="E6" s="98" t="s">
        <v>318</v>
      </c>
      <c r="F6" s="99" t="s">
        <v>319</v>
      </c>
    </row>
    <row r="7" customFormat="false" ht="33.75" hidden="false" customHeight="true" outlineLevel="0" collapsed="false">
      <c r="A7" s="95" t="s">
        <v>320</v>
      </c>
      <c r="B7" s="96" t="s">
        <v>321</v>
      </c>
      <c r="C7" s="97" t="s">
        <v>322</v>
      </c>
      <c r="D7" s="97" t="s">
        <v>322</v>
      </c>
      <c r="E7" s="98" t="s">
        <v>323</v>
      </c>
      <c r="F7" s="99" t="s">
        <v>324</v>
      </c>
    </row>
    <row r="8" customFormat="false" ht="33.75" hidden="false" customHeight="true" outlineLevel="0" collapsed="false">
      <c r="A8" s="95" t="s">
        <v>325</v>
      </c>
      <c r="B8" s="96" t="s">
        <v>326</v>
      </c>
      <c r="C8" s="97" t="s">
        <v>327</v>
      </c>
      <c r="D8" s="97" t="s">
        <v>328</v>
      </c>
      <c r="E8" s="98" t="s">
        <v>329</v>
      </c>
      <c r="F8" s="99" t="s">
        <v>330</v>
      </c>
    </row>
    <row r="9" customFormat="false" ht="33.75" hidden="false" customHeight="true" outlineLevel="0" collapsed="false">
      <c r="A9" s="95" t="s">
        <v>331</v>
      </c>
      <c r="B9" s="96" t="s">
        <v>332</v>
      </c>
      <c r="C9" s="97" t="s">
        <v>333</v>
      </c>
      <c r="D9" s="97" t="s">
        <v>334</v>
      </c>
      <c r="E9" s="98" t="s">
        <v>335</v>
      </c>
      <c r="F9" s="99" t="s">
        <v>336</v>
      </c>
    </row>
    <row r="10" customFormat="false" ht="33.75" hidden="false" customHeight="true" outlineLevel="0" collapsed="false">
      <c r="A10" s="95" t="s">
        <v>337</v>
      </c>
      <c r="B10" s="96" t="s">
        <v>338</v>
      </c>
      <c r="C10" s="97" t="s">
        <v>339</v>
      </c>
      <c r="D10" s="97" t="s">
        <v>340</v>
      </c>
      <c r="E10" s="98" t="s">
        <v>341</v>
      </c>
      <c r="F10" s="99" t="s">
        <v>342</v>
      </c>
    </row>
    <row r="12" customFormat="false" ht="15" hidden="false" customHeight="true" outlineLevel="0" collapsed="false">
      <c r="A12" s="6" t="s">
        <v>343</v>
      </c>
      <c r="B12" s="6"/>
      <c r="C12" s="6"/>
      <c r="D12" s="6"/>
      <c r="E12" s="6"/>
      <c r="F12" s="6"/>
    </row>
    <row r="13" customFormat="false" ht="49.5" hidden="false" customHeight="true" outlineLevel="0" collapsed="false">
      <c r="A13" s="96" t="s">
        <v>344</v>
      </c>
      <c r="B13" s="96"/>
      <c r="C13" s="96"/>
      <c r="D13" s="96"/>
      <c r="E13" s="96"/>
      <c r="F13" s="96"/>
    </row>
    <row r="15" customFormat="false" ht="15" hidden="false" customHeight="true" outlineLevel="0" collapsed="false">
      <c r="A15" s="6" t="s">
        <v>345</v>
      </c>
      <c r="B15" s="6"/>
      <c r="C15" s="6"/>
      <c r="D15" s="6"/>
      <c r="E15" s="6"/>
      <c r="F15" s="6"/>
    </row>
    <row r="16" customFormat="false" ht="15" hidden="false" customHeight="true" outlineLevel="0" collapsed="false">
      <c r="A16" s="80" t="s">
        <v>346</v>
      </c>
      <c r="B16" s="100" t="s">
        <v>347</v>
      </c>
      <c r="C16" s="100"/>
      <c r="D16" s="100"/>
      <c r="E16" s="100"/>
      <c r="F16" s="100"/>
    </row>
    <row r="17" customFormat="false" ht="15" hidden="false" customHeight="true" outlineLevel="0" collapsed="false">
      <c r="A17" s="28" t="s">
        <v>348</v>
      </c>
      <c r="B17" s="100" t="s">
        <v>349</v>
      </c>
      <c r="C17" s="100"/>
      <c r="D17" s="100"/>
      <c r="E17" s="100"/>
      <c r="F17" s="100"/>
    </row>
    <row r="18" customFormat="false" ht="15" hidden="false" customHeight="true" outlineLevel="0" collapsed="false">
      <c r="A18" s="101" t="s">
        <v>350</v>
      </c>
      <c r="B18" s="100" t="s">
        <v>351</v>
      </c>
      <c r="C18" s="100"/>
      <c r="D18" s="100"/>
      <c r="E18" s="100"/>
      <c r="F18" s="100"/>
    </row>
    <row r="19" customFormat="false" ht="15" hidden="false" customHeight="true" outlineLevel="0" collapsed="false">
      <c r="A19" s="102" t="s">
        <v>352</v>
      </c>
      <c r="B19" s="100" t="s">
        <v>353</v>
      </c>
      <c r="C19" s="100"/>
      <c r="D19" s="100"/>
      <c r="E19" s="100"/>
      <c r="F19" s="100"/>
    </row>
    <row r="20" customFormat="false" ht="15" hidden="false" customHeight="true" outlineLevel="0" collapsed="false">
      <c r="A20" s="43" t="s">
        <v>354</v>
      </c>
      <c r="B20" s="100" t="s">
        <v>355</v>
      </c>
      <c r="C20" s="100"/>
      <c r="D20" s="100"/>
      <c r="E20" s="100"/>
      <c r="F20" s="100"/>
    </row>
    <row r="21" customFormat="false" ht="15" hidden="false" customHeight="true" outlineLevel="0" collapsed="false">
      <c r="A21" s="43" t="s">
        <v>356</v>
      </c>
      <c r="B21" s="100" t="s">
        <v>357</v>
      </c>
      <c r="C21" s="100"/>
      <c r="D21" s="100"/>
      <c r="E21" s="100"/>
      <c r="F21" s="100"/>
    </row>
    <row r="22" customFormat="false" ht="15" hidden="false" customHeight="true" outlineLevel="0" collapsed="false">
      <c r="A22" s="43" t="s">
        <v>358</v>
      </c>
      <c r="B22" s="100" t="s">
        <v>359</v>
      </c>
      <c r="C22" s="100"/>
      <c r="D22" s="100"/>
      <c r="E22" s="100"/>
      <c r="F22" s="100"/>
    </row>
  </sheetData>
  <mergeCells count="12">
    <mergeCell ref="A1:F1"/>
    <mergeCell ref="A2:F2"/>
    <mergeCell ref="A12:F12"/>
    <mergeCell ref="A13:F13"/>
    <mergeCell ref="A15:F15"/>
    <mergeCell ref="B16:F16"/>
    <mergeCell ref="B17:F17"/>
    <mergeCell ref="B18:F18"/>
    <mergeCell ref="B19:F19"/>
    <mergeCell ref="B20:F20"/>
    <mergeCell ref="B21:F21"/>
    <mergeCell ref="B22:F22"/>
  </mergeCells>
  <hyperlinks>
    <hyperlink ref="F4" r:id="rId1" display="https://runpod.io/pricing"/>
    <hyperlink ref="F5" r:id="rId2" display="https://vast.ai"/>
    <hyperlink ref="F6" r:id="rId3" display="https://lambdalabs.com/service/gpu-cloud"/>
    <hyperlink ref="F7" r:id="rId4" display="https://together.ai/pricing"/>
    <hyperlink ref="F8" r:id="rId5" display="https://modal.com/pricing"/>
    <hyperlink ref="F9" r:id="rId6" location="endpoints" display="https://huggingface.co/pricing#endpoints"/>
    <hyperlink ref="F10" r:id="rId7" display="https://cloud.google.com/compute/gpus-pric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2026-03-01T18:21:00Z</dcterms:created>
  <dc:creator>openpyxl</dc:creator>
  <dc:description/>
  <dc:language>en-US</dc:language>
  <cp:lastModifiedBy>DELL</cp:lastModifiedBy>
  <dcterms:modified xsi:type="dcterms:W3CDTF">2026-03-13T08:17:17Z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D42ABB7CEDA94A52912A923178EAD293_12</vt:lpwstr>
  </property>
  <property fmtid="{D5CDD505-2E9C-101B-9397-08002B2CF9AE}" pid="3" name="KSOProductBuildVer">
    <vt:lpwstr>1033-12.2.0.23196</vt:lpwstr>
  </property>
</Properties>
</file>